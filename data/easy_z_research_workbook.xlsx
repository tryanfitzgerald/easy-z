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icipality Master" sheetId="1" state="visible" r:id="rId3"/>
    <sheet name="Zoning Research" sheetId="2" state="visible" r:id="rId4"/>
    <sheet name="Approval History" sheetId="3" state="visible" r:id="rId5"/>
    <sheet name="Competitive Landscape" sheetId="4" state="visible" r:id="rId6"/>
    <sheet name="Score Calculator" sheetId="5" state="visible" r:id="rId7"/>
    <sheet name="Ground Truth" sheetId="6" state="visible" r:id="rId8"/>
  </sheets>
  <definedNames>
    <definedName function="false" hidden="true" localSheetId="0" name="_xlnm._FilterDatabase" vbProcedure="false">'Municipality Master'!$A$1:$K$246</definedName>
    <definedName function="false" hidden="true" localSheetId="4" name="_xlnm._FilterDatabase" vbProcedure="false">'Score Calculator'!$A$1:$P$246</definedName>
    <definedName function="false" hidden="true" localSheetId="1" name="_xlnm._FilterDatabase" vbProcedure="false">'Zoning Research'!$A$1:$AL$246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<sst xmlns="http://schemas.openxmlformats.org/spreadsheetml/2006/main" count="3000" uniqueCount="414">
  <si>
    <t xml:space="preserve">Municipality</t>
  </si>
  <si>
    <t xml:space="preserve">State</t>
  </si>
  <si>
    <t xml:space="preserve">County</t>
  </si>
  <si>
    <t xml:space="preserve">Population</t>
  </si>
  <si>
    <t xml:space="preserve">Priority Tier</t>
  </si>
  <si>
    <t xml:space="preserve">Research Status</t>
  </si>
  <si>
    <t xml:space="preserve">Researcher</t>
  </si>
  <si>
    <t xml:space="preserve">Date Started</t>
  </si>
  <si>
    <t xml:space="preserve">Date Completed</t>
  </si>
  <si>
    <t xml:space="preserve">Has Existing Data</t>
  </si>
  <si>
    <t xml:space="preserve">Data Source</t>
  </si>
  <si>
    <t xml:space="preserve">Chicago</t>
  </si>
  <si>
    <t xml:space="preserve">IL</t>
  </si>
  <si>
    <t xml:space="preserve">Cook</t>
  </si>
  <si>
    <t xml:space="preserve">A - High Priority</t>
  </si>
  <si>
    <t xml:space="preserve">Complete</t>
  </si>
  <si>
    <t xml:space="preserve">Yes</t>
  </si>
  <si>
    <t xml:space="preserve">AI Estimate (Not Verified)</t>
  </si>
  <si>
    <t xml:space="preserve">Aurora</t>
  </si>
  <si>
    <t xml:space="preserve">Kane/DuPage</t>
  </si>
  <si>
    <t xml:space="preserve">Naperville</t>
  </si>
  <si>
    <t xml:space="preserve">DuPage/Will</t>
  </si>
  <si>
    <t xml:space="preserve">Joliet</t>
  </si>
  <si>
    <t xml:space="preserve">Will</t>
  </si>
  <si>
    <t xml:space="preserve">Rockford</t>
  </si>
  <si>
    <t xml:space="preserve">Winnebago</t>
  </si>
  <si>
    <t xml:space="preserve">Not Started</t>
  </si>
  <si>
    <t xml:space="preserve">No</t>
  </si>
  <si>
    <t xml:space="preserve">Springfield</t>
  </si>
  <si>
    <t xml:space="preserve">Sangamon</t>
  </si>
  <si>
    <t xml:space="preserve">Elgin</t>
  </si>
  <si>
    <t xml:space="preserve">Kane/Cook</t>
  </si>
  <si>
    <t xml:space="preserve">Peoria</t>
  </si>
  <si>
    <t xml:space="preserve">Champaign</t>
  </si>
  <si>
    <t xml:space="preserve">Waukegan</t>
  </si>
  <si>
    <t xml:space="preserve">Lake</t>
  </si>
  <si>
    <t xml:space="preserve">Cicero</t>
  </si>
  <si>
    <t xml:space="preserve">Bloomington</t>
  </si>
  <si>
    <t xml:space="preserve">McLean</t>
  </si>
  <si>
    <t xml:space="preserve">Arlington Heights</t>
  </si>
  <si>
    <t xml:space="preserve">Evanston</t>
  </si>
  <si>
    <t xml:space="preserve">Schaumburg</t>
  </si>
  <si>
    <t xml:space="preserve">Cook/DuPage</t>
  </si>
  <si>
    <t xml:space="preserve">Bolingbrook</t>
  </si>
  <si>
    <t xml:space="preserve">Will/DuPage</t>
  </si>
  <si>
    <t xml:space="preserve">Decatur</t>
  </si>
  <si>
    <t xml:space="preserve">Macon</t>
  </si>
  <si>
    <t xml:space="preserve">Palatine</t>
  </si>
  <si>
    <t xml:space="preserve">Skokie</t>
  </si>
  <si>
    <t xml:space="preserve">Orland Park</t>
  </si>
  <si>
    <t xml:space="preserve">Des Plaines</t>
  </si>
  <si>
    <t xml:space="preserve">Tinley Park</t>
  </si>
  <si>
    <t xml:space="preserve">Oak Lawn</t>
  </si>
  <si>
    <t xml:space="preserve">Berwyn</t>
  </si>
  <si>
    <t xml:space="preserve">Mount Prospect</t>
  </si>
  <si>
    <t xml:space="preserve">Wheaton</t>
  </si>
  <si>
    <t xml:space="preserve">DuPage</t>
  </si>
  <si>
    <t xml:space="preserve">Hoffman Estates</t>
  </si>
  <si>
    <t xml:space="preserve">Oak Park</t>
  </si>
  <si>
    <t xml:space="preserve">Normal</t>
  </si>
  <si>
    <t xml:space="preserve">Downers Grove</t>
  </si>
  <si>
    <t xml:space="preserve">Glenview</t>
  </si>
  <si>
    <t xml:space="preserve">Elmhurst</t>
  </si>
  <si>
    <t xml:space="preserve">Lombard</t>
  </si>
  <si>
    <t xml:space="preserve">DeKalb</t>
  </si>
  <si>
    <t xml:space="preserve">Moline</t>
  </si>
  <si>
    <t xml:space="preserve">Rock Island</t>
  </si>
  <si>
    <t xml:space="preserve">Belleville</t>
  </si>
  <si>
    <t xml:space="preserve">St. Clair</t>
  </si>
  <si>
    <t xml:space="preserve">Plainfield</t>
  </si>
  <si>
    <t xml:space="preserve">Bartlett</t>
  </si>
  <si>
    <t xml:space="preserve">Buffalo Grove</t>
  </si>
  <si>
    <t xml:space="preserve">Lake/Cook</t>
  </si>
  <si>
    <t xml:space="preserve">Carol Stream</t>
  </si>
  <si>
    <t xml:space="preserve">Streamwood</t>
  </si>
  <si>
    <t xml:space="preserve">Quincy</t>
  </si>
  <si>
    <t xml:space="preserve">Adams</t>
  </si>
  <si>
    <t xml:space="preserve">Romeoville</t>
  </si>
  <si>
    <t xml:space="preserve">Crystal Lake</t>
  </si>
  <si>
    <t xml:space="preserve">McHenry</t>
  </si>
  <si>
    <t xml:space="preserve">Wheeling</t>
  </si>
  <si>
    <t xml:space="preserve">Urbana</t>
  </si>
  <si>
    <t xml:space="preserve">Park Ridge</t>
  </si>
  <si>
    <t xml:space="preserve">Hanover Park</t>
  </si>
  <si>
    <t xml:space="preserve">Carpentersville</t>
  </si>
  <si>
    <t xml:space="preserve">Kane</t>
  </si>
  <si>
    <t xml:space="preserve">Oswego</t>
  </si>
  <si>
    <t xml:space="preserve">Kendall</t>
  </si>
  <si>
    <t xml:space="preserve">Addison</t>
  </si>
  <si>
    <t xml:space="preserve">Calumet City</t>
  </si>
  <si>
    <t xml:space="preserve">Glendale Heights</t>
  </si>
  <si>
    <t xml:space="preserve">Northbrook</t>
  </si>
  <si>
    <t xml:space="preserve">St. Charles</t>
  </si>
  <si>
    <t xml:space="preserve">Woodridge</t>
  </si>
  <si>
    <t xml:space="preserve">Pekin</t>
  </si>
  <si>
    <t xml:space="preserve">Tazewell</t>
  </si>
  <si>
    <t xml:space="preserve">Elk Grove Village</t>
  </si>
  <si>
    <t xml:space="preserve">Mundelein</t>
  </si>
  <si>
    <t xml:space="preserve">Gurnee</t>
  </si>
  <si>
    <t xml:space="preserve">Lake in the Hills</t>
  </si>
  <si>
    <t xml:space="preserve">Highland Park</t>
  </si>
  <si>
    <t xml:space="preserve">Niles</t>
  </si>
  <si>
    <t xml:space="preserve">Algonquin</t>
  </si>
  <si>
    <t xml:space="preserve">McHenry/Kane</t>
  </si>
  <si>
    <t xml:space="preserve">Danville</t>
  </si>
  <si>
    <t xml:space="preserve">Vermilion</t>
  </si>
  <si>
    <t xml:space="preserve">Galesburg</t>
  </si>
  <si>
    <t xml:space="preserve">Knox</t>
  </si>
  <si>
    <t xml:space="preserve">O'Fallon</t>
  </si>
  <si>
    <t xml:space="preserve">Wilmette</t>
  </si>
  <si>
    <t xml:space="preserve">Oak Forest</t>
  </si>
  <si>
    <t xml:space="preserve">Granite City</t>
  </si>
  <si>
    <t xml:space="preserve">Madison</t>
  </si>
  <si>
    <t xml:space="preserve">Huntley</t>
  </si>
  <si>
    <t xml:space="preserve">New Lenox</t>
  </si>
  <si>
    <t xml:space="preserve">Batavia</t>
  </si>
  <si>
    <t xml:space="preserve">Vernon Hills</t>
  </si>
  <si>
    <t xml:space="preserve">Alton</t>
  </si>
  <si>
    <t xml:space="preserve">Lockport</t>
  </si>
  <si>
    <t xml:space="preserve">Woodstock</t>
  </si>
  <si>
    <t xml:space="preserve">Collinsville</t>
  </si>
  <si>
    <t xml:space="preserve">Edwardsville</t>
  </si>
  <si>
    <t xml:space="preserve">Westmont</t>
  </si>
  <si>
    <t xml:space="preserve">Maywood</t>
  </si>
  <si>
    <t xml:space="preserve">Rolling Meadows</t>
  </si>
  <si>
    <t xml:space="preserve">Morton Grove</t>
  </si>
  <si>
    <t xml:space="preserve">Lisle</t>
  </si>
  <si>
    <t xml:space="preserve">Roselle</t>
  </si>
  <si>
    <t xml:space="preserve">Blue Island</t>
  </si>
  <si>
    <t xml:space="preserve">Melrose Park</t>
  </si>
  <si>
    <t xml:space="preserve">Geneva</t>
  </si>
  <si>
    <t xml:space="preserve">Yorkville</t>
  </si>
  <si>
    <t xml:space="preserve">Darien</t>
  </si>
  <si>
    <t xml:space="preserve">Villa Park</t>
  </si>
  <si>
    <t xml:space="preserve">Bloomingdale</t>
  </si>
  <si>
    <t xml:space="preserve">Carbondale</t>
  </si>
  <si>
    <t xml:space="preserve">Jackson</t>
  </si>
  <si>
    <t xml:space="preserve">Homer Glen</t>
  </si>
  <si>
    <t xml:space="preserve">Grayslake</t>
  </si>
  <si>
    <t xml:space="preserve">Bensenville</t>
  </si>
  <si>
    <t xml:space="preserve">Crest Hill</t>
  </si>
  <si>
    <t xml:space="preserve">Libertyville</t>
  </si>
  <si>
    <t xml:space="preserve">Lake Zurich</t>
  </si>
  <si>
    <t xml:space="preserve">Mokena</t>
  </si>
  <si>
    <t xml:space="preserve">Deerfield</t>
  </si>
  <si>
    <t xml:space="preserve">Lake Forest</t>
  </si>
  <si>
    <t xml:space="preserve">Frankfort</t>
  </si>
  <si>
    <t xml:space="preserve">Alsip</t>
  </si>
  <si>
    <t xml:space="preserve">Bellwood</t>
  </si>
  <si>
    <t xml:space="preserve">Round Lake</t>
  </si>
  <si>
    <t xml:space="preserve">Palos Hills</t>
  </si>
  <si>
    <t xml:space="preserve">East St. Louis</t>
  </si>
  <si>
    <t xml:space="preserve">Marion</t>
  </si>
  <si>
    <t xml:space="preserve">Williamson</t>
  </si>
  <si>
    <t xml:space="preserve">Hinsdale</t>
  </si>
  <si>
    <t xml:space="preserve">Lemont</t>
  </si>
  <si>
    <t xml:space="preserve">Cook/DuPage/Will</t>
  </si>
  <si>
    <t xml:space="preserve">Shorewood</t>
  </si>
  <si>
    <t xml:space="preserve">Antioch</t>
  </si>
  <si>
    <t xml:space="preserve">Wood Dale</t>
  </si>
  <si>
    <t xml:space="preserve">Warrenville</t>
  </si>
  <si>
    <t xml:space="preserve">Channahon</t>
  </si>
  <si>
    <t xml:space="preserve">Winnetka</t>
  </si>
  <si>
    <t xml:space="preserve">Palos Heights</t>
  </si>
  <si>
    <t xml:space="preserve">Minooka</t>
  </si>
  <si>
    <t xml:space="preserve">Will/Grundy</t>
  </si>
  <si>
    <t xml:space="preserve">Barrington</t>
  </si>
  <si>
    <t xml:space="preserve">Cook/Lake</t>
  </si>
  <si>
    <t xml:space="preserve">Winfield</t>
  </si>
  <si>
    <t xml:space="preserve">B - Medium</t>
  </si>
  <si>
    <t xml:space="preserve">Glencoe</t>
  </si>
  <si>
    <t xml:space="preserve">Clarendon Hills</t>
  </si>
  <si>
    <t xml:space="preserve">Itasca</t>
  </si>
  <si>
    <t xml:space="preserve">Orland Hills</t>
  </si>
  <si>
    <t xml:space="preserve">Kenilworth</t>
  </si>
  <si>
    <t xml:space="preserve">C - Low Priority</t>
  </si>
  <si>
    <t xml:space="preserve">Indianapolis</t>
  </si>
  <si>
    <t xml:space="preserve">IN</t>
  </si>
  <si>
    <t xml:space="preserve">Fort Wayne</t>
  </si>
  <si>
    <t xml:space="preserve">Allen</t>
  </si>
  <si>
    <t xml:space="preserve">Evansville</t>
  </si>
  <si>
    <t xml:space="preserve">Vanderburgh</t>
  </si>
  <si>
    <t xml:space="preserve">South Bend</t>
  </si>
  <si>
    <t xml:space="preserve">St. Joseph</t>
  </si>
  <si>
    <t xml:space="preserve">Carmel</t>
  </si>
  <si>
    <t xml:space="preserve">Hamilton</t>
  </si>
  <si>
    <t xml:space="preserve">Fishers</t>
  </si>
  <si>
    <t xml:space="preserve">Monroe</t>
  </si>
  <si>
    <t xml:space="preserve">Hammond</t>
  </si>
  <si>
    <t xml:space="preserve">Gary</t>
  </si>
  <si>
    <t xml:space="preserve">Noblesville</t>
  </si>
  <si>
    <t xml:space="preserve">Lafayette</t>
  </si>
  <si>
    <t xml:space="preserve">Tippecanoe</t>
  </si>
  <si>
    <t xml:space="preserve">Muncie</t>
  </si>
  <si>
    <t xml:space="preserve">Delaware</t>
  </si>
  <si>
    <t xml:space="preserve">Greenwood</t>
  </si>
  <si>
    <t xml:space="preserve">Johnson</t>
  </si>
  <si>
    <t xml:space="preserve">Terre Haute</t>
  </si>
  <si>
    <t xml:space="preserve">Vigo</t>
  </si>
  <si>
    <t xml:space="preserve">Kokomo</t>
  </si>
  <si>
    <t xml:space="preserve">Howard</t>
  </si>
  <si>
    <t xml:space="preserve">Anderson</t>
  </si>
  <si>
    <t xml:space="preserve">Elkhart</t>
  </si>
  <si>
    <t xml:space="preserve">Mishawaka</t>
  </si>
  <si>
    <t xml:space="preserve">Lawrence</t>
  </si>
  <si>
    <t xml:space="preserve">Jeffersonville</t>
  </si>
  <si>
    <t xml:space="preserve">Clark</t>
  </si>
  <si>
    <t xml:space="preserve">Columbus</t>
  </si>
  <si>
    <t xml:space="preserve">Bartholomew</t>
  </si>
  <si>
    <t xml:space="preserve">Westfield</t>
  </si>
  <si>
    <t xml:space="preserve">West Lafayette</t>
  </si>
  <si>
    <t xml:space="preserve">Portage</t>
  </si>
  <si>
    <t xml:space="preserve">Porter</t>
  </si>
  <si>
    <t xml:space="preserve">New Albany</t>
  </si>
  <si>
    <t xml:space="preserve">Floyd</t>
  </si>
  <si>
    <t xml:space="preserve">Merrillville</t>
  </si>
  <si>
    <t xml:space="preserve">Richmond</t>
  </si>
  <si>
    <t xml:space="preserve">Wayne</t>
  </si>
  <si>
    <t xml:space="preserve">Valparaiso</t>
  </si>
  <si>
    <t xml:space="preserve">Goshen</t>
  </si>
  <si>
    <t xml:space="preserve">Hendricks</t>
  </si>
  <si>
    <t xml:space="preserve">Michigan City</t>
  </si>
  <si>
    <t xml:space="preserve">LaPorte</t>
  </si>
  <si>
    <t xml:space="preserve">Crown Point</t>
  </si>
  <si>
    <t xml:space="preserve">Granger</t>
  </si>
  <si>
    <t xml:space="preserve">Schererville</t>
  </si>
  <si>
    <t xml:space="preserve">Hobart</t>
  </si>
  <si>
    <t xml:space="preserve">Brownsburg</t>
  </si>
  <si>
    <t xml:space="preserve">Zionsville</t>
  </si>
  <si>
    <t xml:space="preserve">Boone</t>
  </si>
  <si>
    <t xml:space="preserve">Grant</t>
  </si>
  <si>
    <t xml:space="preserve">Franklin</t>
  </si>
  <si>
    <t xml:space="preserve">Munster</t>
  </si>
  <si>
    <t xml:space="preserve">Highland</t>
  </si>
  <si>
    <t xml:space="preserve">Clarksville</t>
  </si>
  <si>
    <t xml:space="preserve">La Porte</t>
  </si>
  <si>
    <t xml:space="preserve">St. John</t>
  </si>
  <si>
    <t xml:space="preserve">Shelbyville</t>
  </si>
  <si>
    <t xml:space="preserve">Shelby</t>
  </si>
  <si>
    <t xml:space="preserve">Avon</t>
  </si>
  <si>
    <t xml:space="preserve">Logansport</t>
  </si>
  <si>
    <t xml:space="preserve">Cass</t>
  </si>
  <si>
    <t xml:space="preserve">Dyer</t>
  </si>
  <si>
    <t xml:space="preserve">Lebanon</t>
  </si>
  <si>
    <t xml:space="preserve">Warsaw</t>
  </si>
  <si>
    <t xml:space="preserve">Kosciusko</t>
  </si>
  <si>
    <t xml:space="preserve">Cedar Lake</t>
  </si>
  <si>
    <t xml:space="preserve">Chesterton</t>
  </si>
  <si>
    <t xml:space="preserve">Milwaukee</t>
  </si>
  <si>
    <t xml:space="preserve">WI</t>
  </si>
  <si>
    <t xml:space="preserve">Dane</t>
  </si>
  <si>
    <t xml:space="preserve">Green Bay</t>
  </si>
  <si>
    <t xml:space="preserve">Brown</t>
  </si>
  <si>
    <t xml:space="preserve">Kenosha</t>
  </si>
  <si>
    <t xml:space="preserve">Racine</t>
  </si>
  <si>
    <t xml:space="preserve">Appleton</t>
  </si>
  <si>
    <t xml:space="preserve">Outagamie</t>
  </si>
  <si>
    <t xml:space="preserve">Waukesha</t>
  </si>
  <si>
    <t xml:space="preserve">Eau Claire</t>
  </si>
  <si>
    <t xml:space="preserve">Oshkosh</t>
  </si>
  <si>
    <t xml:space="preserve">Janesville</t>
  </si>
  <si>
    <t xml:space="preserve">Rock</t>
  </si>
  <si>
    <t xml:space="preserve">West Allis</t>
  </si>
  <si>
    <t xml:space="preserve">La Crosse</t>
  </si>
  <si>
    <t xml:space="preserve">Sheboygan</t>
  </si>
  <si>
    <t xml:space="preserve">Wauwatosa</t>
  </si>
  <si>
    <t xml:space="preserve">Fond du Lac</t>
  </si>
  <si>
    <t xml:space="preserve">New Berlin</t>
  </si>
  <si>
    <t xml:space="preserve">Wausau</t>
  </si>
  <si>
    <t xml:space="preserve">Marathon</t>
  </si>
  <si>
    <t xml:space="preserve">Brookfield</t>
  </si>
  <si>
    <t xml:space="preserve">Greenfield</t>
  </si>
  <si>
    <t xml:space="preserve">Oak Creek</t>
  </si>
  <si>
    <t xml:space="preserve">Beloit</t>
  </si>
  <si>
    <t xml:space="preserve">Menomonee Falls</t>
  </si>
  <si>
    <t xml:space="preserve">Manitowoc</t>
  </si>
  <si>
    <t xml:space="preserve">West Bend</t>
  </si>
  <si>
    <t xml:space="preserve">Washington</t>
  </si>
  <si>
    <t xml:space="preserve">Sun Prairie</t>
  </si>
  <si>
    <t xml:space="preserve">Fitchburg</t>
  </si>
  <si>
    <t xml:space="preserve">Mount Pleasant</t>
  </si>
  <si>
    <t xml:space="preserve">Neenah</t>
  </si>
  <si>
    <t xml:space="preserve">Superior</t>
  </si>
  <si>
    <t xml:space="preserve">Douglas</t>
  </si>
  <si>
    <t xml:space="preserve">Stevens Point</t>
  </si>
  <si>
    <t xml:space="preserve">Muskego</t>
  </si>
  <si>
    <t xml:space="preserve">Caledonia</t>
  </si>
  <si>
    <t xml:space="preserve">De Pere</t>
  </si>
  <si>
    <t xml:space="preserve">Mequon</t>
  </si>
  <si>
    <t xml:space="preserve">Ozaukee</t>
  </si>
  <si>
    <t xml:space="preserve">Grand Chute</t>
  </si>
  <si>
    <t xml:space="preserve">Pleasant Prairie</t>
  </si>
  <si>
    <t xml:space="preserve">South Milwaukee</t>
  </si>
  <si>
    <t xml:space="preserve">Germantown</t>
  </si>
  <si>
    <t xml:space="preserve">Middleton</t>
  </si>
  <si>
    <t xml:space="preserve">Marshfield</t>
  </si>
  <si>
    <t xml:space="preserve">Wood</t>
  </si>
  <si>
    <t xml:space="preserve">Onalaska</t>
  </si>
  <si>
    <t xml:space="preserve">Cudahy</t>
  </si>
  <si>
    <t xml:space="preserve">Menasha</t>
  </si>
  <si>
    <t xml:space="preserve">Ashwaubenon</t>
  </si>
  <si>
    <t xml:space="preserve">Wisconsin Rapids</t>
  </si>
  <si>
    <t xml:space="preserve">Kaukauna</t>
  </si>
  <si>
    <t xml:space="preserve">Menomonie</t>
  </si>
  <si>
    <t xml:space="preserve">Dunn</t>
  </si>
  <si>
    <t xml:space="preserve">Whitefish Bay</t>
  </si>
  <si>
    <t xml:space="preserve">Verona</t>
  </si>
  <si>
    <t xml:space="preserve">Glendale</t>
  </si>
  <si>
    <t xml:space="preserve">Stoughton</t>
  </si>
  <si>
    <t xml:space="preserve">Cedarburg</t>
  </si>
  <si>
    <t xml:space="preserve">Brown Deer</t>
  </si>
  <si>
    <t xml:space="preserve">Baraboo</t>
  </si>
  <si>
    <t xml:space="preserve">Sauk</t>
  </si>
  <si>
    <t xml:space="preserve">Little Chute</t>
  </si>
  <si>
    <t xml:space="preserve">Greenville</t>
  </si>
  <si>
    <t xml:space="preserve">Grafton</t>
  </si>
  <si>
    <t xml:space="preserve">Port Washington</t>
  </si>
  <si>
    <t xml:space="preserve">Oregon</t>
  </si>
  <si>
    <t xml:space="preserve">Holmen</t>
  </si>
  <si>
    <t xml:space="preserve">Monona</t>
  </si>
  <si>
    <t xml:space="preserve">Rice Lake</t>
  </si>
  <si>
    <t xml:space="preserve">Barron</t>
  </si>
  <si>
    <t xml:space="preserve">DT Zones Allowed</t>
  </si>
  <si>
    <t xml:space="preserve">DT Approval Pathway</t>
  </si>
  <si>
    <t xml:space="preserve">CW Zones Allowed</t>
  </si>
  <si>
    <t xml:space="preserve">CW Approval Pathway</t>
  </si>
  <si>
    <t xml:space="preserve">Zoning Code Score (0-20)</t>
  </si>
  <si>
    <t xml:space="preserve">Stacking Req (# cars)</t>
  </si>
  <si>
    <t xml:space="preserve">Lot Size Min (sq ft)</t>
  </si>
  <si>
    <t xml:space="preserve">Front Setback (ft)</t>
  </si>
  <si>
    <t xml:space="preserve">Side Setback (ft)</t>
  </si>
  <si>
    <t xml:space="preserve">Rear Setback (ft)</t>
  </si>
  <si>
    <t xml:space="preserve">Proximity Restrictions</t>
  </si>
  <si>
    <t xml:space="preserve">Hours Limits</t>
  </si>
  <si>
    <t xml:space="preserve">Traffic Study Req?</t>
  </si>
  <si>
    <t xml:space="preserve">Arch Review Req?</t>
  </si>
  <si>
    <t xml:space="preserve">Site Req Score (0-20)</t>
  </si>
  <si>
    <t xml:space="preserve">Recent Approvals (3yr)</t>
  </si>
  <si>
    <t xml:space="preserve">Recent Denials (3yr)</t>
  </si>
  <si>
    <t xml:space="preserve">Avg Timeline (months)</t>
  </si>
  <si>
    <t xml:space="preserve">Est Approval Cost ($)</t>
  </si>
  <si>
    <t xml:space="preserve">Approval Score (0-20)</t>
  </si>
  <si>
    <t xml:space="preserve"># Existing Carwashes</t>
  </si>
  <si>
    <t xml:space="preserve"># DT Coffee Shops</t>
  </si>
  <si>
    <t xml:space="preserve"># DT QSR Total</t>
  </si>
  <si>
    <t xml:space="preserve">Saturation Score (0-20)</t>
  </si>
  <si>
    <t xml:space="preserve">Board Receptivity</t>
  </si>
  <si>
    <t xml:space="preserve">Moratorium?</t>
  </si>
  <si>
    <t xml:space="preserve">Pending Ordinance Changes?</t>
  </si>
  <si>
    <t xml:space="preserve">Notes</t>
  </si>
  <si>
    <t xml:space="preserve">Political Score (0-20)</t>
  </si>
  <si>
    <t xml:space="preserve">COMPOSITE SCORE</t>
  </si>
  <si>
    <t xml:space="preserve">Override Score</t>
  </si>
  <si>
    <t xml:space="preserve">Override Reason</t>
  </si>
  <si>
    <t xml:space="preserve">Source URL 1</t>
  </si>
  <si>
    <t xml:space="preserve">Source URL 2</t>
  </si>
  <si>
    <t xml:space="preserve">Confidence</t>
  </si>
  <si>
    <t xml:space="preserve">Last Updated</t>
  </si>
  <si>
    <t xml:space="preserve">AI Estimate</t>
  </si>
  <si>
    <t xml:space="preserve">Conditional Use</t>
  </si>
  <si>
    <t xml:space="preserve">Hostile</t>
  </si>
  <si>
    <t xml:space="preserve">City blocked Dutch Bros on Napier Blvd due to 7 Brew saturation at 1203 Iroquois. Board actively discouraging new DT coffee.</t>
  </si>
  <si>
    <t xml:space="preserve">High</t>
  </si>
  <si>
    <t xml:space="preserve">Project Name</t>
  </si>
  <si>
    <t xml:space="preserve">Applicant/Chain</t>
  </si>
  <si>
    <t xml:space="preserve">Use Type</t>
  </si>
  <si>
    <t xml:space="preserve">Date</t>
  </si>
  <si>
    <t xml:space="preserve">Outcome</t>
  </si>
  <si>
    <t xml:space="preserve">Conditions/Notes</t>
  </si>
  <si>
    <t xml:space="preserve">Source URL</t>
  </si>
  <si>
    <t xml:space="preserve">Entered By</t>
  </si>
  <si>
    <t xml:space="preserve">7 Brew Coffee</t>
  </si>
  <si>
    <t xml:space="preserve">7 Brew</t>
  </si>
  <si>
    <t xml:space="preserve">Drive-Thru Coffee</t>
  </si>
  <si>
    <t xml:space="preserve">2024</t>
  </si>
  <si>
    <t xml:space="preserve">Approved w/ Conditions</t>
  </si>
  <si>
    <t xml:space="preserve">1203 Iroquois Road. Approved with extensive conditions.</t>
  </si>
  <si>
    <t xml:space="preserve">T. Ryan</t>
  </si>
  <si>
    <t xml:space="preserve">Dutch Bros Coffee</t>
  </si>
  <si>
    <t xml:space="preserve">Dutch Bros</t>
  </si>
  <si>
    <t xml:space="preserve">2025</t>
  </si>
  <si>
    <t xml:space="preserve">Denied</t>
  </si>
  <si>
    <t xml:space="preserve">Napier Boulevard location. City not supportive due to 7 Brew saturation.</t>
  </si>
  <si>
    <t xml:space="preserve">Business Name</t>
  </si>
  <si>
    <t xml:space="preserve">Address</t>
  </si>
  <si>
    <t xml:space="preserve">Type</t>
  </si>
  <si>
    <t xml:space="preserve">Chain/Independent</t>
  </si>
  <si>
    <t xml:space="preserve">Year Opened (est)</t>
  </si>
  <si>
    <t xml:space="preserve">Source/Notes</t>
  </si>
  <si>
    <t xml:space="preserve">1203 Iroquois Road</t>
  </si>
  <si>
    <t xml:space="preserve">Chain (Blackstone-backed)</t>
  </si>
  <si>
    <t xml:space="preserve">Direct competitor. Blackstone growth equity investment Feb 2024. 600+ locations.</t>
  </si>
  <si>
    <t xml:space="preserve">Tier</t>
  </si>
  <si>
    <t xml:space="preserve">Zoning (0-20)</t>
  </si>
  <si>
    <t xml:space="preserve">Site Req (0-20)</t>
  </si>
  <si>
    <t xml:space="preserve">Approval (0-20)</t>
  </si>
  <si>
    <t xml:space="preserve">Saturation (0-20)</t>
  </si>
  <si>
    <t xml:space="preserve">Political (0-20)</t>
  </si>
  <si>
    <t xml:space="preserve">COMPOSITE</t>
  </si>
  <si>
    <t xml:space="preserve">Override</t>
  </si>
  <si>
    <t xml:space="preserve">CW Score (old)</t>
  </si>
  <si>
    <t xml:space="preserve">DT Score (old)</t>
  </si>
  <si>
    <t xml:space="preserve">Delta</t>
  </si>
  <si>
    <t xml:space="preserve">A</t>
  </si>
  <si>
    <t xml:space="preserve">B</t>
  </si>
  <si>
    <t xml:space="preserve">C</t>
  </si>
  <si>
    <t xml:space="preserve">Our Score at Time</t>
  </si>
  <si>
    <t xml:space="preserve">Actual Outcome</t>
  </si>
  <si>
    <t xml:space="preserve">Predicted Correctly?</t>
  </si>
  <si>
    <t xml:space="preserve">Lesson Learned</t>
  </si>
  <si>
    <t xml:space="preserve">Score Adjustment Made?</t>
  </si>
  <si>
    <t xml:space="preserve">DENIED - City blocked Dutch Bros on Napier Blvd</t>
  </si>
  <si>
    <t xml:space="preserve">Old AI score of 65 was too high. Real score ~38. City hostile to new DT coffee after 7 Brew approval. Saturation + political resistance not captured by zoning code analysis alone.</t>
  </si>
  <si>
    <t xml:space="preserve">Yes - dropped to 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</si>
</sst>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rgb="FFE8F5E9"/>
        <bgColor rgb="FFFFF8E1"/>
      </patternFill>
    </fill>
    <fill>
      <patternFill patternType="solid">
        <fgColor rgb="FFFFE0B2"/>
        <bgColor rgb="FFFBE9E7"/>
      </patternFill>
    </fill>
    <fill>
      <patternFill patternType="solid">
        <fgColor rgb="FFFFF8E1"/>
        <bgColor rgb="FFFFFFFF"/>
      </patternFill>
    </fill>
    <fill>
      <patternFill patternType="solid">
        <fgColor rgb="FFFBE9E7"/>
        <bgColor rgb="FFFFF8E1"/>
      </patternFill>
    </fill>
    <fill>
      <patternFill patternType="solid">
        <fgColor rgb="FFC8E6C9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F346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8E6C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BE9E7"/>
      <rgbColor rgb="FF99CCFF"/>
      <rgbColor rgb="FFFF99CC"/>
      <rgbColor rgb="FFCC99FF"/>
      <rgbColor rgb="FFFFE0B2"/>
      <rgbColor rgb="FF3366FF"/>
      <rgbColor rgb="FF33CCCC"/>
      <rgbColor rgb="FF99CC00"/>
      <rgbColor rgb="FFFACC15"/>
      <rgbColor rgb="FFFF9900"/>
      <rgbColor rgb="FFE94560"/>
      <rgbColor rgb="FF666699"/>
      <rgbColor rgb="FF969696"/>
      <rgbColor rgb="FF0F3460"/>
      <rgbColor rgb="FF22C55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K2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15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25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3" t="n">
        <v>2700000</v>
      </c>
      <c r="E2" s="4" t="s">
        <v>14</v>
      </c>
      <c r="F2" s="5" t="s">
        <v>15</v>
      </c>
      <c r="G2" s="6"/>
      <c r="H2" s="6"/>
      <c r="I2" s="6"/>
      <c r="J2" s="2" t="s">
        <v>16</v>
      </c>
      <c r="K2" s="2" t="s">
        <v>17</v>
      </c>
    </row>
    <row r="3" customFormat="false" ht="15" hidden="false" customHeight="false" outlineLevel="0" collapsed="false">
      <c r="A3" s="2" t="s">
        <v>18</v>
      </c>
      <c r="B3" s="2" t="s">
        <v>12</v>
      </c>
      <c r="C3" s="2" t="s">
        <v>19</v>
      </c>
      <c r="D3" s="3" t="n">
        <v>197000</v>
      </c>
      <c r="E3" s="4" t="s">
        <v>14</v>
      </c>
      <c r="F3" s="5" t="s">
        <v>15</v>
      </c>
      <c r="G3" s="6"/>
      <c r="H3" s="6"/>
      <c r="I3" s="6"/>
      <c r="J3" s="2" t="s">
        <v>16</v>
      </c>
      <c r="K3" s="2" t="s">
        <v>17</v>
      </c>
    </row>
    <row r="4" customFormat="false" ht="15" hidden="false" customHeight="false" outlineLevel="0" collapsed="false">
      <c r="A4" s="2" t="s">
        <v>20</v>
      </c>
      <c r="B4" s="2" t="s">
        <v>12</v>
      </c>
      <c r="C4" s="2" t="s">
        <v>21</v>
      </c>
      <c r="D4" s="3" t="n">
        <v>149000</v>
      </c>
      <c r="E4" s="4" t="s">
        <v>14</v>
      </c>
      <c r="F4" s="5" t="s">
        <v>15</v>
      </c>
      <c r="G4" s="6"/>
      <c r="H4" s="6"/>
      <c r="I4" s="6"/>
      <c r="J4" s="2" t="s">
        <v>16</v>
      </c>
      <c r="K4" s="2" t="s">
        <v>17</v>
      </c>
    </row>
    <row r="5" customFormat="false" ht="15" hidden="false" customHeight="false" outlineLevel="0" collapsed="false">
      <c r="A5" s="2" t="s">
        <v>22</v>
      </c>
      <c r="B5" s="2" t="s">
        <v>12</v>
      </c>
      <c r="C5" s="2" t="s">
        <v>23</v>
      </c>
      <c r="D5" s="3" t="n">
        <v>148000</v>
      </c>
      <c r="E5" s="4" t="s">
        <v>14</v>
      </c>
      <c r="F5" s="5" t="s">
        <v>15</v>
      </c>
      <c r="G5" s="6"/>
      <c r="H5" s="6"/>
      <c r="I5" s="6"/>
      <c r="J5" s="2" t="s">
        <v>16</v>
      </c>
      <c r="K5" s="2" t="s">
        <v>17</v>
      </c>
    </row>
    <row r="6" customFormat="false" ht="15" hidden="false" customHeight="false" outlineLevel="0" collapsed="false">
      <c r="A6" s="2" t="s">
        <v>24</v>
      </c>
      <c r="B6" s="2" t="s">
        <v>12</v>
      </c>
      <c r="C6" s="2" t="s">
        <v>25</v>
      </c>
      <c r="D6" s="3" t="n">
        <v>146000</v>
      </c>
      <c r="E6" s="4" t="s">
        <v>14</v>
      </c>
      <c r="F6" s="2" t="s">
        <v>26</v>
      </c>
      <c r="G6" s="6"/>
      <c r="H6" s="6"/>
      <c r="I6" s="6"/>
      <c r="J6" s="2" t="s">
        <v>27</v>
      </c>
      <c r="K6" s="2"/>
    </row>
    <row r="7" customFormat="false" ht="15" hidden="false" customHeight="false" outlineLevel="0" collapsed="false">
      <c r="A7" s="2" t="s">
        <v>28</v>
      </c>
      <c r="B7" s="2" t="s">
        <v>12</v>
      </c>
      <c r="C7" s="2" t="s">
        <v>29</v>
      </c>
      <c r="D7" s="3" t="n">
        <v>114000</v>
      </c>
      <c r="E7" s="4" t="s">
        <v>14</v>
      </c>
      <c r="F7" s="2" t="s">
        <v>26</v>
      </c>
      <c r="G7" s="6"/>
      <c r="H7" s="6"/>
      <c r="I7" s="6"/>
      <c r="J7" s="2" t="s">
        <v>27</v>
      </c>
      <c r="K7" s="2"/>
    </row>
    <row r="8" customFormat="false" ht="15" hidden="false" customHeight="false" outlineLevel="0" collapsed="false">
      <c r="A8" s="2" t="s">
        <v>30</v>
      </c>
      <c r="B8" s="2" t="s">
        <v>12</v>
      </c>
      <c r="C8" s="2" t="s">
        <v>31</v>
      </c>
      <c r="D8" s="3" t="n">
        <v>112000</v>
      </c>
      <c r="E8" s="4" t="s">
        <v>14</v>
      </c>
      <c r="F8" s="2" t="s">
        <v>26</v>
      </c>
      <c r="G8" s="6"/>
      <c r="H8" s="6"/>
      <c r="I8" s="6"/>
      <c r="J8" s="2" t="s">
        <v>27</v>
      </c>
      <c r="K8" s="2"/>
    </row>
    <row r="9" customFormat="false" ht="15" hidden="false" customHeight="false" outlineLevel="0" collapsed="false">
      <c r="A9" s="2" t="s">
        <v>32</v>
      </c>
      <c r="B9" s="2" t="s">
        <v>12</v>
      </c>
      <c r="C9" s="2" t="s">
        <v>32</v>
      </c>
      <c r="D9" s="3" t="n">
        <v>110000</v>
      </c>
      <c r="E9" s="4" t="s">
        <v>14</v>
      </c>
      <c r="F9" s="2" t="s">
        <v>26</v>
      </c>
      <c r="G9" s="6"/>
      <c r="H9" s="6"/>
      <c r="I9" s="6"/>
      <c r="J9" s="2" t="s">
        <v>27</v>
      </c>
      <c r="K9" s="2"/>
    </row>
    <row r="10" customFormat="false" ht="15" hidden="false" customHeight="false" outlineLevel="0" collapsed="false">
      <c r="A10" s="2" t="s">
        <v>33</v>
      </c>
      <c r="B10" s="2" t="s">
        <v>12</v>
      </c>
      <c r="C10" s="2" t="s">
        <v>33</v>
      </c>
      <c r="D10" s="3" t="n">
        <v>88000</v>
      </c>
      <c r="E10" s="4" t="s">
        <v>14</v>
      </c>
      <c r="F10" s="2" t="s">
        <v>26</v>
      </c>
      <c r="G10" s="6"/>
      <c r="H10" s="6"/>
      <c r="I10" s="6"/>
      <c r="J10" s="2" t="s">
        <v>27</v>
      </c>
      <c r="K10" s="2"/>
    </row>
    <row r="11" customFormat="false" ht="15" hidden="false" customHeight="false" outlineLevel="0" collapsed="false">
      <c r="A11" s="2" t="s">
        <v>34</v>
      </c>
      <c r="B11" s="2" t="s">
        <v>12</v>
      </c>
      <c r="C11" s="2" t="s">
        <v>35</v>
      </c>
      <c r="D11" s="3" t="n">
        <v>87000</v>
      </c>
      <c r="E11" s="4" t="s">
        <v>14</v>
      </c>
      <c r="F11" s="5" t="s">
        <v>15</v>
      </c>
      <c r="G11" s="6"/>
      <c r="H11" s="6"/>
      <c r="I11" s="6"/>
      <c r="J11" s="2" t="s">
        <v>16</v>
      </c>
      <c r="K11" s="2" t="s">
        <v>17</v>
      </c>
    </row>
    <row r="12" customFormat="false" ht="15" hidden="false" customHeight="false" outlineLevel="0" collapsed="false">
      <c r="A12" s="2" t="s">
        <v>36</v>
      </c>
      <c r="B12" s="2" t="s">
        <v>12</v>
      </c>
      <c r="C12" s="2" t="s">
        <v>13</v>
      </c>
      <c r="D12" s="3" t="n">
        <v>84000</v>
      </c>
      <c r="E12" s="4" t="s">
        <v>14</v>
      </c>
      <c r="F12" s="5" t="s">
        <v>15</v>
      </c>
      <c r="G12" s="6"/>
      <c r="H12" s="6"/>
      <c r="I12" s="6"/>
      <c r="J12" s="2" t="s">
        <v>16</v>
      </c>
      <c r="K12" s="2" t="s">
        <v>17</v>
      </c>
    </row>
    <row r="13" customFormat="false" ht="15" hidden="false" customHeight="false" outlineLevel="0" collapsed="false">
      <c r="A13" s="2" t="s">
        <v>37</v>
      </c>
      <c r="B13" s="2" t="s">
        <v>12</v>
      </c>
      <c r="C13" s="2" t="s">
        <v>38</v>
      </c>
      <c r="D13" s="3" t="n">
        <v>78000</v>
      </c>
      <c r="E13" s="4" t="s">
        <v>14</v>
      </c>
      <c r="F13" s="2" t="s">
        <v>26</v>
      </c>
      <c r="G13" s="6"/>
      <c r="H13" s="6"/>
      <c r="I13" s="6"/>
      <c r="J13" s="2" t="s">
        <v>27</v>
      </c>
      <c r="K13" s="2"/>
    </row>
    <row r="14" customFormat="false" ht="15" hidden="false" customHeight="false" outlineLevel="0" collapsed="false">
      <c r="A14" s="2" t="s">
        <v>39</v>
      </c>
      <c r="B14" s="2" t="s">
        <v>12</v>
      </c>
      <c r="C14" s="2" t="s">
        <v>13</v>
      </c>
      <c r="D14" s="3" t="n">
        <v>76000</v>
      </c>
      <c r="E14" s="4" t="s">
        <v>14</v>
      </c>
      <c r="F14" s="5" t="s">
        <v>15</v>
      </c>
      <c r="G14" s="6"/>
      <c r="H14" s="6"/>
      <c r="I14" s="6"/>
      <c r="J14" s="2" t="s">
        <v>16</v>
      </c>
      <c r="K14" s="2" t="s">
        <v>17</v>
      </c>
    </row>
    <row r="15" customFormat="false" ht="15" hidden="false" customHeight="false" outlineLevel="0" collapsed="false">
      <c r="A15" s="2" t="s">
        <v>40</v>
      </c>
      <c r="B15" s="2" t="s">
        <v>12</v>
      </c>
      <c r="C15" s="2" t="s">
        <v>13</v>
      </c>
      <c r="D15" s="3" t="n">
        <v>74000</v>
      </c>
      <c r="E15" s="4" t="s">
        <v>14</v>
      </c>
      <c r="F15" s="5" t="s">
        <v>15</v>
      </c>
      <c r="G15" s="6"/>
      <c r="H15" s="6"/>
      <c r="I15" s="6"/>
      <c r="J15" s="2" t="s">
        <v>16</v>
      </c>
      <c r="K15" s="2" t="s">
        <v>17</v>
      </c>
    </row>
    <row r="16" customFormat="false" ht="15" hidden="false" customHeight="false" outlineLevel="0" collapsed="false">
      <c r="A16" s="2" t="s">
        <v>41</v>
      </c>
      <c r="B16" s="2" t="s">
        <v>12</v>
      </c>
      <c r="C16" s="2" t="s">
        <v>42</v>
      </c>
      <c r="D16" s="3" t="n">
        <v>74000</v>
      </c>
      <c r="E16" s="4" t="s">
        <v>14</v>
      </c>
      <c r="F16" s="5" t="s">
        <v>15</v>
      </c>
      <c r="G16" s="6"/>
      <c r="H16" s="6"/>
      <c r="I16" s="6"/>
      <c r="J16" s="2" t="s">
        <v>16</v>
      </c>
      <c r="K16" s="2" t="s">
        <v>17</v>
      </c>
    </row>
    <row r="17" customFormat="false" ht="15" hidden="false" customHeight="false" outlineLevel="0" collapsed="false">
      <c r="A17" s="2" t="s">
        <v>43</v>
      </c>
      <c r="B17" s="2" t="s">
        <v>12</v>
      </c>
      <c r="C17" s="2" t="s">
        <v>44</v>
      </c>
      <c r="D17" s="3" t="n">
        <v>73000</v>
      </c>
      <c r="E17" s="4" t="s">
        <v>14</v>
      </c>
      <c r="F17" s="5" t="s">
        <v>15</v>
      </c>
      <c r="G17" s="6"/>
      <c r="H17" s="6"/>
      <c r="I17" s="6"/>
      <c r="J17" s="2" t="s">
        <v>16</v>
      </c>
      <c r="K17" s="2" t="s">
        <v>17</v>
      </c>
    </row>
    <row r="18" customFormat="false" ht="15" hidden="false" customHeight="false" outlineLevel="0" collapsed="false">
      <c r="A18" s="2" t="s">
        <v>45</v>
      </c>
      <c r="B18" s="2" t="s">
        <v>12</v>
      </c>
      <c r="C18" s="2" t="s">
        <v>46</v>
      </c>
      <c r="D18" s="3" t="n">
        <v>70000</v>
      </c>
      <c r="E18" s="4" t="s">
        <v>14</v>
      </c>
      <c r="F18" s="2" t="s">
        <v>26</v>
      </c>
      <c r="G18" s="6"/>
      <c r="H18" s="6"/>
      <c r="I18" s="6"/>
      <c r="J18" s="2" t="s">
        <v>27</v>
      </c>
      <c r="K18" s="2"/>
    </row>
    <row r="19" customFormat="false" ht="15" hidden="false" customHeight="false" outlineLevel="0" collapsed="false">
      <c r="A19" s="2" t="s">
        <v>47</v>
      </c>
      <c r="B19" s="2" t="s">
        <v>12</v>
      </c>
      <c r="C19" s="2" t="s">
        <v>13</v>
      </c>
      <c r="D19" s="3" t="n">
        <v>68000</v>
      </c>
      <c r="E19" s="4" t="s">
        <v>14</v>
      </c>
      <c r="F19" s="5" t="s">
        <v>15</v>
      </c>
      <c r="G19" s="6"/>
      <c r="H19" s="6"/>
      <c r="I19" s="6"/>
      <c r="J19" s="2" t="s">
        <v>16</v>
      </c>
      <c r="K19" s="2" t="s">
        <v>17</v>
      </c>
    </row>
    <row r="20" customFormat="false" ht="15" hidden="false" customHeight="false" outlineLevel="0" collapsed="false">
      <c r="A20" s="2" t="s">
        <v>48</v>
      </c>
      <c r="B20" s="2" t="s">
        <v>12</v>
      </c>
      <c r="C20" s="2" t="s">
        <v>13</v>
      </c>
      <c r="D20" s="3" t="n">
        <v>65000</v>
      </c>
      <c r="E20" s="4" t="s">
        <v>14</v>
      </c>
      <c r="F20" s="5" t="s">
        <v>15</v>
      </c>
      <c r="G20" s="6"/>
      <c r="H20" s="6"/>
      <c r="I20" s="6"/>
      <c r="J20" s="2" t="s">
        <v>16</v>
      </c>
      <c r="K20" s="2" t="s">
        <v>17</v>
      </c>
    </row>
    <row r="21" customFormat="false" ht="15" hidden="false" customHeight="false" outlineLevel="0" collapsed="false">
      <c r="A21" s="2" t="s">
        <v>49</v>
      </c>
      <c r="B21" s="2" t="s">
        <v>12</v>
      </c>
      <c r="C21" s="2" t="s">
        <v>13</v>
      </c>
      <c r="D21" s="3" t="n">
        <v>58000</v>
      </c>
      <c r="E21" s="4" t="s">
        <v>14</v>
      </c>
      <c r="F21" s="5" t="s">
        <v>15</v>
      </c>
      <c r="G21" s="6"/>
      <c r="H21" s="6"/>
      <c r="I21" s="6"/>
      <c r="J21" s="2" t="s">
        <v>16</v>
      </c>
      <c r="K21" s="2" t="s">
        <v>17</v>
      </c>
    </row>
    <row r="22" customFormat="false" ht="15" hidden="false" customHeight="false" outlineLevel="0" collapsed="false">
      <c r="A22" s="2" t="s">
        <v>50</v>
      </c>
      <c r="B22" s="2" t="s">
        <v>12</v>
      </c>
      <c r="C22" s="2" t="s">
        <v>13</v>
      </c>
      <c r="D22" s="3" t="n">
        <v>58000</v>
      </c>
      <c r="E22" s="4" t="s">
        <v>14</v>
      </c>
      <c r="F22" s="5" t="s">
        <v>15</v>
      </c>
      <c r="G22" s="6"/>
      <c r="H22" s="6"/>
      <c r="I22" s="6"/>
      <c r="J22" s="2" t="s">
        <v>16</v>
      </c>
      <c r="K22" s="2" t="s">
        <v>17</v>
      </c>
    </row>
    <row r="23" customFormat="false" ht="15" hidden="false" customHeight="false" outlineLevel="0" collapsed="false">
      <c r="A23" s="2" t="s">
        <v>51</v>
      </c>
      <c r="B23" s="2" t="s">
        <v>12</v>
      </c>
      <c r="C23" s="2" t="s">
        <v>13</v>
      </c>
      <c r="D23" s="3" t="n">
        <v>57000</v>
      </c>
      <c r="E23" s="4" t="s">
        <v>14</v>
      </c>
      <c r="F23" s="5" t="s">
        <v>15</v>
      </c>
      <c r="G23" s="6"/>
      <c r="H23" s="6"/>
      <c r="I23" s="6"/>
      <c r="J23" s="2" t="s">
        <v>16</v>
      </c>
      <c r="K23" s="2" t="s">
        <v>17</v>
      </c>
    </row>
    <row r="24" customFormat="false" ht="15" hidden="false" customHeight="false" outlineLevel="0" collapsed="false">
      <c r="A24" s="2" t="s">
        <v>52</v>
      </c>
      <c r="B24" s="2" t="s">
        <v>12</v>
      </c>
      <c r="C24" s="2" t="s">
        <v>13</v>
      </c>
      <c r="D24" s="3" t="n">
        <v>57000</v>
      </c>
      <c r="E24" s="4" t="s">
        <v>14</v>
      </c>
      <c r="F24" s="2" t="s">
        <v>26</v>
      </c>
      <c r="G24" s="6"/>
      <c r="H24" s="6"/>
      <c r="I24" s="6"/>
      <c r="J24" s="2" t="s">
        <v>27</v>
      </c>
      <c r="K24" s="2"/>
    </row>
    <row r="25" customFormat="false" ht="15" hidden="false" customHeight="false" outlineLevel="0" collapsed="false">
      <c r="A25" s="2" t="s">
        <v>53</v>
      </c>
      <c r="B25" s="2" t="s">
        <v>12</v>
      </c>
      <c r="C25" s="2" t="s">
        <v>13</v>
      </c>
      <c r="D25" s="3" t="n">
        <v>55000</v>
      </c>
      <c r="E25" s="4" t="s">
        <v>14</v>
      </c>
      <c r="F25" s="5" t="s">
        <v>15</v>
      </c>
      <c r="G25" s="6"/>
      <c r="H25" s="6"/>
      <c r="I25" s="6"/>
      <c r="J25" s="2" t="s">
        <v>16</v>
      </c>
      <c r="K25" s="2" t="s">
        <v>17</v>
      </c>
    </row>
    <row r="26" customFormat="false" ht="15" hidden="false" customHeight="false" outlineLevel="0" collapsed="false">
      <c r="A26" s="2" t="s">
        <v>54</v>
      </c>
      <c r="B26" s="2" t="s">
        <v>12</v>
      </c>
      <c r="C26" s="2" t="s">
        <v>13</v>
      </c>
      <c r="D26" s="3" t="n">
        <v>54000</v>
      </c>
      <c r="E26" s="4" t="s">
        <v>14</v>
      </c>
      <c r="F26" s="5" t="s">
        <v>15</v>
      </c>
      <c r="G26" s="6"/>
      <c r="H26" s="6"/>
      <c r="I26" s="6"/>
      <c r="J26" s="2" t="s">
        <v>16</v>
      </c>
      <c r="K26" s="2" t="s">
        <v>17</v>
      </c>
    </row>
    <row r="27" customFormat="false" ht="15" hidden="false" customHeight="false" outlineLevel="0" collapsed="false">
      <c r="A27" s="2" t="s">
        <v>55</v>
      </c>
      <c r="B27" s="2" t="s">
        <v>12</v>
      </c>
      <c r="C27" s="2" t="s">
        <v>56</v>
      </c>
      <c r="D27" s="3" t="n">
        <v>53000</v>
      </c>
      <c r="E27" s="4" t="s">
        <v>14</v>
      </c>
      <c r="F27" s="5" t="s">
        <v>15</v>
      </c>
      <c r="G27" s="6"/>
      <c r="H27" s="6"/>
      <c r="I27" s="6"/>
      <c r="J27" s="2" t="s">
        <v>16</v>
      </c>
      <c r="K27" s="2" t="s">
        <v>17</v>
      </c>
    </row>
    <row r="28" customFormat="false" ht="15" hidden="false" customHeight="false" outlineLevel="0" collapsed="false">
      <c r="A28" s="2" t="s">
        <v>57</v>
      </c>
      <c r="B28" s="2" t="s">
        <v>12</v>
      </c>
      <c r="C28" s="2" t="s">
        <v>13</v>
      </c>
      <c r="D28" s="3" t="n">
        <v>52000</v>
      </c>
      <c r="E28" s="4" t="s">
        <v>14</v>
      </c>
      <c r="F28" s="5" t="s">
        <v>15</v>
      </c>
      <c r="G28" s="6"/>
      <c r="H28" s="6"/>
      <c r="I28" s="6"/>
      <c r="J28" s="2" t="s">
        <v>16</v>
      </c>
      <c r="K28" s="2" t="s">
        <v>17</v>
      </c>
    </row>
    <row r="29" customFormat="false" ht="15" hidden="false" customHeight="false" outlineLevel="0" collapsed="false">
      <c r="A29" s="2" t="s">
        <v>58</v>
      </c>
      <c r="B29" s="2" t="s">
        <v>12</v>
      </c>
      <c r="C29" s="2" t="s">
        <v>13</v>
      </c>
      <c r="D29" s="3" t="n">
        <v>52000</v>
      </c>
      <c r="E29" s="4" t="s">
        <v>14</v>
      </c>
      <c r="F29" s="5" t="s">
        <v>15</v>
      </c>
      <c r="G29" s="6"/>
      <c r="H29" s="6"/>
      <c r="I29" s="6"/>
      <c r="J29" s="2" t="s">
        <v>16</v>
      </c>
      <c r="K29" s="2" t="s">
        <v>17</v>
      </c>
    </row>
    <row r="30" customFormat="false" ht="15" hidden="false" customHeight="false" outlineLevel="0" collapsed="false">
      <c r="A30" s="2" t="s">
        <v>59</v>
      </c>
      <c r="B30" s="2" t="s">
        <v>12</v>
      </c>
      <c r="C30" s="2" t="s">
        <v>38</v>
      </c>
      <c r="D30" s="3" t="n">
        <v>52000</v>
      </c>
      <c r="E30" s="4" t="s">
        <v>14</v>
      </c>
      <c r="F30" s="2" t="s">
        <v>26</v>
      </c>
      <c r="G30" s="6"/>
      <c r="H30" s="6"/>
      <c r="I30" s="6"/>
      <c r="J30" s="2" t="s">
        <v>27</v>
      </c>
      <c r="K30" s="2"/>
    </row>
    <row r="31" customFormat="false" ht="15" hidden="false" customHeight="false" outlineLevel="0" collapsed="false">
      <c r="A31" s="2" t="s">
        <v>60</v>
      </c>
      <c r="B31" s="2" t="s">
        <v>12</v>
      </c>
      <c r="C31" s="2" t="s">
        <v>56</v>
      </c>
      <c r="D31" s="3" t="n">
        <v>49000</v>
      </c>
      <c r="E31" s="4" t="s">
        <v>14</v>
      </c>
      <c r="F31" s="5" t="s">
        <v>15</v>
      </c>
      <c r="G31" s="6"/>
      <c r="H31" s="6"/>
      <c r="I31" s="6"/>
      <c r="J31" s="2" t="s">
        <v>16</v>
      </c>
      <c r="K31" s="2" t="s">
        <v>17</v>
      </c>
    </row>
    <row r="32" customFormat="false" ht="15" hidden="false" customHeight="false" outlineLevel="0" collapsed="false">
      <c r="A32" s="2" t="s">
        <v>61</v>
      </c>
      <c r="B32" s="2" t="s">
        <v>12</v>
      </c>
      <c r="C32" s="2" t="s">
        <v>13</v>
      </c>
      <c r="D32" s="3" t="n">
        <v>47000</v>
      </c>
      <c r="E32" s="4" t="s">
        <v>14</v>
      </c>
      <c r="F32" s="5" t="s">
        <v>15</v>
      </c>
      <c r="G32" s="6"/>
      <c r="H32" s="6"/>
      <c r="I32" s="6"/>
      <c r="J32" s="2" t="s">
        <v>16</v>
      </c>
      <c r="K32" s="2" t="s">
        <v>17</v>
      </c>
    </row>
    <row r="33" customFormat="false" ht="15" hidden="false" customHeight="false" outlineLevel="0" collapsed="false">
      <c r="A33" s="2" t="s">
        <v>62</v>
      </c>
      <c r="B33" s="2" t="s">
        <v>12</v>
      </c>
      <c r="C33" s="2" t="s">
        <v>56</v>
      </c>
      <c r="D33" s="3" t="n">
        <v>46000</v>
      </c>
      <c r="E33" s="4" t="s">
        <v>14</v>
      </c>
      <c r="F33" s="5" t="s">
        <v>15</v>
      </c>
      <c r="G33" s="6"/>
      <c r="H33" s="6"/>
      <c r="I33" s="6"/>
      <c r="J33" s="2" t="s">
        <v>16</v>
      </c>
      <c r="K33" s="2" t="s">
        <v>17</v>
      </c>
    </row>
    <row r="34" customFormat="false" ht="15" hidden="false" customHeight="false" outlineLevel="0" collapsed="false">
      <c r="A34" s="2" t="s">
        <v>63</v>
      </c>
      <c r="B34" s="2" t="s">
        <v>12</v>
      </c>
      <c r="C34" s="2" t="s">
        <v>56</v>
      </c>
      <c r="D34" s="3" t="n">
        <v>44000</v>
      </c>
      <c r="E34" s="4" t="s">
        <v>14</v>
      </c>
      <c r="F34" s="5" t="s">
        <v>15</v>
      </c>
      <c r="G34" s="6"/>
      <c r="H34" s="6"/>
      <c r="I34" s="6"/>
      <c r="J34" s="2" t="s">
        <v>16</v>
      </c>
      <c r="K34" s="2" t="s">
        <v>17</v>
      </c>
    </row>
    <row r="35" customFormat="false" ht="15" hidden="false" customHeight="false" outlineLevel="0" collapsed="false">
      <c r="A35" s="2" t="s">
        <v>64</v>
      </c>
      <c r="B35" s="2" t="s">
        <v>12</v>
      </c>
      <c r="C35" s="2" t="s">
        <v>64</v>
      </c>
      <c r="D35" s="3" t="n">
        <v>44000</v>
      </c>
      <c r="E35" s="4" t="s">
        <v>14</v>
      </c>
      <c r="F35" s="2" t="s">
        <v>26</v>
      </c>
      <c r="G35" s="6"/>
      <c r="H35" s="6"/>
      <c r="I35" s="6"/>
      <c r="J35" s="2" t="s">
        <v>27</v>
      </c>
      <c r="K35" s="2"/>
    </row>
    <row r="36" customFormat="false" ht="15" hidden="false" customHeight="false" outlineLevel="0" collapsed="false">
      <c r="A36" s="2" t="s">
        <v>65</v>
      </c>
      <c r="B36" s="2" t="s">
        <v>12</v>
      </c>
      <c r="C36" s="2" t="s">
        <v>66</v>
      </c>
      <c r="D36" s="3" t="n">
        <v>42000</v>
      </c>
      <c r="E36" s="4" t="s">
        <v>14</v>
      </c>
      <c r="F36" s="2" t="s">
        <v>26</v>
      </c>
      <c r="G36" s="6"/>
      <c r="H36" s="6"/>
      <c r="I36" s="6"/>
      <c r="J36" s="2" t="s">
        <v>27</v>
      </c>
      <c r="K36" s="2"/>
    </row>
    <row r="37" customFormat="false" ht="15" hidden="false" customHeight="false" outlineLevel="0" collapsed="false">
      <c r="A37" s="2" t="s">
        <v>67</v>
      </c>
      <c r="B37" s="2" t="s">
        <v>12</v>
      </c>
      <c r="C37" s="2" t="s">
        <v>68</v>
      </c>
      <c r="D37" s="3" t="n">
        <v>42000</v>
      </c>
      <c r="E37" s="4" t="s">
        <v>14</v>
      </c>
      <c r="F37" s="2" t="s">
        <v>26</v>
      </c>
      <c r="G37" s="6"/>
      <c r="H37" s="6"/>
      <c r="I37" s="6"/>
      <c r="J37" s="2" t="s">
        <v>27</v>
      </c>
      <c r="K37" s="2"/>
    </row>
    <row r="38" customFormat="false" ht="15" hidden="false" customHeight="false" outlineLevel="0" collapsed="false">
      <c r="A38" s="2" t="s">
        <v>69</v>
      </c>
      <c r="B38" s="2" t="s">
        <v>12</v>
      </c>
      <c r="C38" s="2" t="s">
        <v>23</v>
      </c>
      <c r="D38" s="3" t="n">
        <v>41000</v>
      </c>
      <c r="E38" s="4" t="s">
        <v>14</v>
      </c>
      <c r="F38" s="5" t="s">
        <v>15</v>
      </c>
      <c r="G38" s="6"/>
      <c r="H38" s="6"/>
      <c r="I38" s="6"/>
      <c r="J38" s="2" t="s">
        <v>16</v>
      </c>
      <c r="K38" s="2" t="s">
        <v>17</v>
      </c>
    </row>
    <row r="39" customFormat="false" ht="15" hidden="false" customHeight="false" outlineLevel="0" collapsed="false">
      <c r="A39" s="2" t="s">
        <v>70</v>
      </c>
      <c r="B39" s="2" t="s">
        <v>12</v>
      </c>
      <c r="C39" s="2" t="s">
        <v>42</v>
      </c>
      <c r="D39" s="3" t="n">
        <v>41000</v>
      </c>
      <c r="E39" s="4" t="s">
        <v>14</v>
      </c>
      <c r="F39" s="2" t="s">
        <v>26</v>
      </c>
      <c r="G39" s="6"/>
      <c r="H39" s="6"/>
      <c r="I39" s="6"/>
      <c r="J39" s="2" t="s">
        <v>27</v>
      </c>
      <c r="K39" s="2"/>
    </row>
    <row r="40" customFormat="false" ht="15" hidden="false" customHeight="false" outlineLevel="0" collapsed="false">
      <c r="A40" s="2" t="s">
        <v>71</v>
      </c>
      <c r="B40" s="2" t="s">
        <v>12</v>
      </c>
      <c r="C40" s="2" t="s">
        <v>72</v>
      </c>
      <c r="D40" s="3" t="n">
        <v>41000</v>
      </c>
      <c r="E40" s="4" t="s">
        <v>14</v>
      </c>
      <c r="F40" s="2" t="s">
        <v>26</v>
      </c>
      <c r="G40" s="6"/>
      <c r="H40" s="6"/>
      <c r="I40" s="6"/>
      <c r="J40" s="2" t="s">
        <v>27</v>
      </c>
      <c r="K40" s="2"/>
    </row>
    <row r="41" customFormat="false" ht="15" hidden="false" customHeight="false" outlineLevel="0" collapsed="false">
      <c r="A41" s="2" t="s">
        <v>73</v>
      </c>
      <c r="B41" s="2" t="s">
        <v>12</v>
      </c>
      <c r="C41" s="2" t="s">
        <v>56</v>
      </c>
      <c r="D41" s="3" t="n">
        <v>40000</v>
      </c>
      <c r="E41" s="4" t="s">
        <v>14</v>
      </c>
      <c r="F41" s="5" t="s">
        <v>15</v>
      </c>
      <c r="G41" s="6"/>
      <c r="H41" s="6"/>
      <c r="I41" s="6"/>
      <c r="J41" s="2" t="s">
        <v>16</v>
      </c>
      <c r="K41" s="2" t="s">
        <v>17</v>
      </c>
    </row>
    <row r="42" customFormat="false" ht="15" hidden="false" customHeight="false" outlineLevel="0" collapsed="false">
      <c r="A42" s="2" t="s">
        <v>74</v>
      </c>
      <c r="B42" s="2" t="s">
        <v>12</v>
      </c>
      <c r="C42" s="2" t="s">
        <v>13</v>
      </c>
      <c r="D42" s="3" t="n">
        <v>40000</v>
      </c>
      <c r="E42" s="4" t="s">
        <v>14</v>
      </c>
      <c r="F42" s="2" t="s">
        <v>26</v>
      </c>
      <c r="G42" s="6"/>
      <c r="H42" s="6"/>
      <c r="I42" s="6"/>
      <c r="J42" s="2" t="s">
        <v>27</v>
      </c>
      <c r="K42" s="2"/>
    </row>
    <row r="43" customFormat="false" ht="15" hidden="false" customHeight="false" outlineLevel="0" collapsed="false">
      <c r="A43" s="2" t="s">
        <v>75</v>
      </c>
      <c r="B43" s="2" t="s">
        <v>12</v>
      </c>
      <c r="C43" s="2" t="s">
        <v>76</v>
      </c>
      <c r="D43" s="3" t="n">
        <v>40000</v>
      </c>
      <c r="E43" s="4" t="s">
        <v>14</v>
      </c>
      <c r="F43" s="2" t="s">
        <v>26</v>
      </c>
      <c r="G43" s="6"/>
      <c r="H43" s="6"/>
      <c r="I43" s="6"/>
      <c r="J43" s="2" t="s">
        <v>27</v>
      </c>
      <c r="K43" s="2"/>
    </row>
    <row r="44" customFormat="false" ht="15" hidden="false" customHeight="false" outlineLevel="0" collapsed="false">
      <c r="A44" s="2" t="s">
        <v>77</v>
      </c>
      <c r="B44" s="2" t="s">
        <v>12</v>
      </c>
      <c r="C44" s="2" t="s">
        <v>23</v>
      </c>
      <c r="D44" s="3" t="n">
        <v>39000</v>
      </c>
      <c r="E44" s="4" t="s">
        <v>14</v>
      </c>
      <c r="F44" s="5" t="s">
        <v>15</v>
      </c>
      <c r="G44" s="6"/>
      <c r="H44" s="6"/>
      <c r="I44" s="6"/>
      <c r="J44" s="2" t="s">
        <v>16</v>
      </c>
      <c r="K44" s="2" t="s">
        <v>17</v>
      </c>
    </row>
    <row r="45" customFormat="false" ht="15" hidden="false" customHeight="false" outlineLevel="0" collapsed="false">
      <c r="A45" s="2" t="s">
        <v>78</v>
      </c>
      <c r="B45" s="2" t="s">
        <v>12</v>
      </c>
      <c r="C45" s="2" t="s">
        <v>79</v>
      </c>
      <c r="D45" s="3" t="n">
        <v>39000</v>
      </c>
      <c r="E45" s="4" t="s">
        <v>14</v>
      </c>
      <c r="F45" s="2" t="s">
        <v>26</v>
      </c>
      <c r="G45" s="6"/>
      <c r="H45" s="6"/>
      <c r="I45" s="6"/>
      <c r="J45" s="2" t="s">
        <v>27</v>
      </c>
      <c r="K45" s="2"/>
    </row>
    <row r="46" customFormat="false" ht="15" hidden="false" customHeight="false" outlineLevel="0" collapsed="false">
      <c r="A46" s="2" t="s">
        <v>80</v>
      </c>
      <c r="B46" s="2" t="s">
        <v>12</v>
      </c>
      <c r="C46" s="2" t="s">
        <v>13</v>
      </c>
      <c r="D46" s="3" t="n">
        <v>38000</v>
      </c>
      <c r="E46" s="4" t="s">
        <v>14</v>
      </c>
      <c r="F46" s="2" t="s">
        <v>26</v>
      </c>
      <c r="G46" s="6"/>
      <c r="H46" s="6"/>
      <c r="I46" s="6"/>
      <c r="J46" s="2" t="s">
        <v>27</v>
      </c>
      <c r="K46" s="2"/>
    </row>
    <row r="47" customFormat="false" ht="15" hidden="false" customHeight="false" outlineLevel="0" collapsed="false">
      <c r="A47" s="2" t="s">
        <v>81</v>
      </c>
      <c r="B47" s="2" t="s">
        <v>12</v>
      </c>
      <c r="C47" s="2" t="s">
        <v>33</v>
      </c>
      <c r="D47" s="3" t="n">
        <v>38000</v>
      </c>
      <c r="E47" s="4" t="s">
        <v>14</v>
      </c>
      <c r="F47" s="2" t="s">
        <v>26</v>
      </c>
      <c r="G47" s="6"/>
      <c r="H47" s="6"/>
      <c r="I47" s="6"/>
      <c r="J47" s="2" t="s">
        <v>27</v>
      </c>
      <c r="K47" s="2"/>
    </row>
    <row r="48" customFormat="false" ht="15" hidden="false" customHeight="false" outlineLevel="0" collapsed="false">
      <c r="A48" s="2" t="s">
        <v>82</v>
      </c>
      <c r="B48" s="2" t="s">
        <v>12</v>
      </c>
      <c r="C48" s="2" t="s">
        <v>13</v>
      </c>
      <c r="D48" s="3" t="n">
        <v>37000</v>
      </c>
      <c r="E48" s="4" t="s">
        <v>14</v>
      </c>
      <c r="F48" s="5" t="s">
        <v>15</v>
      </c>
      <c r="G48" s="6"/>
      <c r="H48" s="6"/>
      <c r="I48" s="6"/>
      <c r="J48" s="2" t="s">
        <v>16</v>
      </c>
      <c r="K48" s="2" t="s">
        <v>17</v>
      </c>
    </row>
    <row r="49" customFormat="false" ht="15" hidden="false" customHeight="false" outlineLevel="0" collapsed="false">
      <c r="A49" s="2" t="s">
        <v>83</v>
      </c>
      <c r="B49" s="2" t="s">
        <v>12</v>
      </c>
      <c r="C49" s="2" t="s">
        <v>42</v>
      </c>
      <c r="D49" s="3" t="n">
        <v>37000</v>
      </c>
      <c r="E49" s="4" t="s">
        <v>14</v>
      </c>
      <c r="F49" s="2" t="s">
        <v>26</v>
      </c>
      <c r="G49" s="6"/>
      <c r="H49" s="6"/>
      <c r="I49" s="6"/>
      <c r="J49" s="2" t="s">
        <v>27</v>
      </c>
      <c r="K49" s="2"/>
    </row>
    <row r="50" customFormat="false" ht="15" hidden="false" customHeight="false" outlineLevel="0" collapsed="false">
      <c r="A50" s="2" t="s">
        <v>84</v>
      </c>
      <c r="B50" s="2" t="s">
        <v>12</v>
      </c>
      <c r="C50" s="2" t="s">
        <v>85</v>
      </c>
      <c r="D50" s="3" t="n">
        <v>37000</v>
      </c>
      <c r="E50" s="4" t="s">
        <v>14</v>
      </c>
      <c r="F50" s="2" t="s">
        <v>26</v>
      </c>
      <c r="G50" s="6"/>
      <c r="H50" s="6"/>
      <c r="I50" s="6"/>
      <c r="J50" s="2" t="s">
        <v>27</v>
      </c>
      <c r="K50" s="2"/>
    </row>
    <row r="51" customFormat="false" ht="15" hidden="false" customHeight="false" outlineLevel="0" collapsed="false">
      <c r="A51" s="2" t="s">
        <v>86</v>
      </c>
      <c r="B51" s="2" t="s">
        <v>12</v>
      </c>
      <c r="C51" s="2" t="s">
        <v>87</v>
      </c>
      <c r="D51" s="3" t="n">
        <v>37000</v>
      </c>
      <c r="E51" s="4" t="s">
        <v>14</v>
      </c>
      <c r="F51" s="2" t="s">
        <v>26</v>
      </c>
      <c r="G51" s="6"/>
      <c r="H51" s="6"/>
      <c r="I51" s="6"/>
      <c r="J51" s="2" t="s">
        <v>27</v>
      </c>
      <c r="K51" s="2"/>
    </row>
    <row r="52" customFormat="false" ht="15" hidden="false" customHeight="false" outlineLevel="0" collapsed="false">
      <c r="A52" s="2" t="s">
        <v>66</v>
      </c>
      <c r="B52" s="2" t="s">
        <v>12</v>
      </c>
      <c r="C52" s="2" t="s">
        <v>66</v>
      </c>
      <c r="D52" s="3" t="n">
        <v>37000</v>
      </c>
      <c r="E52" s="4" t="s">
        <v>14</v>
      </c>
      <c r="F52" s="2" t="s">
        <v>26</v>
      </c>
      <c r="G52" s="6"/>
      <c r="H52" s="6"/>
      <c r="I52" s="6"/>
      <c r="J52" s="2" t="s">
        <v>27</v>
      </c>
      <c r="K52" s="2"/>
    </row>
    <row r="53" customFormat="false" ht="15" hidden="false" customHeight="false" outlineLevel="0" collapsed="false">
      <c r="A53" s="2" t="s">
        <v>88</v>
      </c>
      <c r="B53" s="2" t="s">
        <v>12</v>
      </c>
      <c r="C53" s="2" t="s">
        <v>56</v>
      </c>
      <c r="D53" s="3" t="n">
        <v>36000</v>
      </c>
      <c r="E53" s="4" t="s">
        <v>14</v>
      </c>
      <c r="F53" s="5" t="s">
        <v>15</v>
      </c>
      <c r="G53" s="6"/>
      <c r="H53" s="6"/>
      <c r="I53" s="6"/>
      <c r="J53" s="2" t="s">
        <v>16</v>
      </c>
      <c r="K53" s="2" t="s">
        <v>17</v>
      </c>
    </row>
    <row r="54" customFormat="false" ht="15" hidden="false" customHeight="false" outlineLevel="0" collapsed="false">
      <c r="A54" s="2" t="s">
        <v>89</v>
      </c>
      <c r="B54" s="2" t="s">
        <v>12</v>
      </c>
      <c r="C54" s="2" t="s">
        <v>13</v>
      </c>
      <c r="D54" s="3" t="n">
        <v>36000</v>
      </c>
      <c r="E54" s="4" t="s">
        <v>14</v>
      </c>
      <c r="F54" s="2" t="s">
        <v>26</v>
      </c>
      <c r="G54" s="6"/>
      <c r="H54" s="6"/>
      <c r="I54" s="6"/>
      <c r="J54" s="2" t="s">
        <v>27</v>
      </c>
      <c r="K54" s="2"/>
    </row>
    <row r="55" customFormat="false" ht="15" hidden="false" customHeight="false" outlineLevel="0" collapsed="false">
      <c r="A55" s="2" t="s">
        <v>90</v>
      </c>
      <c r="B55" s="2" t="s">
        <v>12</v>
      </c>
      <c r="C55" s="2" t="s">
        <v>56</v>
      </c>
      <c r="D55" s="3" t="n">
        <v>34000</v>
      </c>
      <c r="E55" s="4" t="s">
        <v>14</v>
      </c>
      <c r="F55" s="5" t="s">
        <v>15</v>
      </c>
      <c r="G55" s="6"/>
      <c r="H55" s="6"/>
      <c r="I55" s="6"/>
      <c r="J55" s="2" t="s">
        <v>16</v>
      </c>
      <c r="K55" s="2" t="s">
        <v>17</v>
      </c>
    </row>
    <row r="56" customFormat="false" ht="15" hidden="false" customHeight="false" outlineLevel="0" collapsed="false">
      <c r="A56" s="2" t="s">
        <v>91</v>
      </c>
      <c r="B56" s="2" t="s">
        <v>12</v>
      </c>
      <c r="C56" s="2" t="s">
        <v>13</v>
      </c>
      <c r="D56" s="3" t="n">
        <v>33000</v>
      </c>
      <c r="E56" s="4" t="s">
        <v>14</v>
      </c>
      <c r="F56" s="5" t="s">
        <v>15</v>
      </c>
      <c r="G56" s="6"/>
      <c r="H56" s="6"/>
      <c r="I56" s="6"/>
      <c r="J56" s="2" t="s">
        <v>16</v>
      </c>
      <c r="K56" s="2" t="s">
        <v>17</v>
      </c>
    </row>
    <row r="57" customFormat="false" ht="15" hidden="false" customHeight="false" outlineLevel="0" collapsed="false">
      <c r="A57" s="2" t="s">
        <v>92</v>
      </c>
      <c r="B57" s="2" t="s">
        <v>12</v>
      </c>
      <c r="C57" s="2" t="s">
        <v>19</v>
      </c>
      <c r="D57" s="3" t="n">
        <v>33000</v>
      </c>
      <c r="E57" s="4" t="s">
        <v>14</v>
      </c>
      <c r="F57" s="2" t="s">
        <v>26</v>
      </c>
      <c r="G57" s="6"/>
      <c r="H57" s="6"/>
      <c r="I57" s="6"/>
      <c r="J57" s="2" t="s">
        <v>27</v>
      </c>
      <c r="K57" s="2"/>
    </row>
    <row r="58" customFormat="false" ht="15" hidden="false" customHeight="false" outlineLevel="0" collapsed="false">
      <c r="A58" s="2" t="s">
        <v>93</v>
      </c>
      <c r="B58" s="2" t="s">
        <v>12</v>
      </c>
      <c r="C58" s="2" t="s">
        <v>56</v>
      </c>
      <c r="D58" s="3" t="n">
        <v>33000</v>
      </c>
      <c r="E58" s="4" t="s">
        <v>14</v>
      </c>
      <c r="F58" s="2" t="s">
        <v>26</v>
      </c>
      <c r="G58" s="6"/>
      <c r="H58" s="6"/>
      <c r="I58" s="6"/>
      <c r="J58" s="2" t="s">
        <v>27</v>
      </c>
      <c r="K58" s="2"/>
    </row>
    <row r="59" customFormat="false" ht="15" hidden="false" customHeight="false" outlineLevel="0" collapsed="false">
      <c r="A59" s="2" t="s">
        <v>94</v>
      </c>
      <c r="B59" s="2" t="s">
        <v>12</v>
      </c>
      <c r="C59" s="2" t="s">
        <v>95</v>
      </c>
      <c r="D59" s="3" t="n">
        <v>33000</v>
      </c>
      <c r="E59" s="4" t="s">
        <v>14</v>
      </c>
      <c r="F59" s="2" t="s">
        <v>26</v>
      </c>
      <c r="G59" s="6"/>
      <c r="H59" s="6"/>
      <c r="I59" s="6"/>
      <c r="J59" s="2" t="s">
        <v>27</v>
      </c>
      <c r="K59" s="2"/>
    </row>
    <row r="60" customFormat="false" ht="15" hidden="false" customHeight="false" outlineLevel="0" collapsed="false">
      <c r="A60" s="2" t="s">
        <v>96</v>
      </c>
      <c r="B60" s="2" t="s">
        <v>12</v>
      </c>
      <c r="C60" s="2" t="s">
        <v>13</v>
      </c>
      <c r="D60" s="3" t="n">
        <v>32000</v>
      </c>
      <c r="E60" s="4" t="s">
        <v>14</v>
      </c>
      <c r="F60" s="5" t="s">
        <v>15</v>
      </c>
      <c r="G60" s="6"/>
      <c r="H60" s="6"/>
      <c r="I60" s="6"/>
      <c r="J60" s="2" t="s">
        <v>16</v>
      </c>
      <c r="K60" s="2" t="s">
        <v>17</v>
      </c>
    </row>
    <row r="61" customFormat="false" ht="15" hidden="false" customHeight="false" outlineLevel="0" collapsed="false">
      <c r="A61" s="2" t="s">
        <v>97</v>
      </c>
      <c r="B61" s="2" t="s">
        <v>12</v>
      </c>
      <c r="C61" s="2" t="s">
        <v>35</v>
      </c>
      <c r="D61" s="3" t="n">
        <v>31000</v>
      </c>
      <c r="E61" s="4" t="s">
        <v>14</v>
      </c>
      <c r="F61" s="5" t="s">
        <v>15</v>
      </c>
      <c r="G61" s="6"/>
      <c r="H61" s="6"/>
      <c r="I61" s="6"/>
      <c r="J61" s="2" t="s">
        <v>16</v>
      </c>
      <c r="K61" s="2" t="s">
        <v>17</v>
      </c>
    </row>
    <row r="62" customFormat="false" ht="15" hidden="false" customHeight="false" outlineLevel="0" collapsed="false">
      <c r="A62" s="2" t="s">
        <v>98</v>
      </c>
      <c r="B62" s="2" t="s">
        <v>12</v>
      </c>
      <c r="C62" s="2" t="s">
        <v>35</v>
      </c>
      <c r="D62" s="3" t="n">
        <v>31000</v>
      </c>
      <c r="E62" s="4" t="s">
        <v>14</v>
      </c>
      <c r="F62" s="2" t="s">
        <v>26</v>
      </c>
      <c r="G62" s="6"/>
      <c r="H62" s="6"/>
      <c r="I62" s="6"/>
      <c r="J62" s="2" t="s">
        <v>27</v>
      </c>
      <c r="K62" s="2"/>
    </row>
    <row r="63" customFormat="false" ht="15" hidden="false" customHeight="false" outlineLevel="0" collapsed="false">
      <c r="A63" s="2" t="s">
        <v>99</v>
      </c>
      <c r="B63" s="2" t="s">
        <v>12</v>
      </c>
      <c r="C63" s="2" t="s">
        <v>79</v>
      </c>
      <c r="D63" s="3" t="n">
        <v>30000</v>
      </c>
      <c r="E63" s="4" t="s">
        <v>14</v>
      </c>
      <c r="F63" s="2" t="s">
        <v>26</v>
      </c>
      <c r="G63" s="6"/>
      <c r="H63" s="6"/>
      <c r="I63" s="6"/>
      <c r="J63" s="2" t="s">
        <v>27</v>
      </c>
      <c r="K63" s="2"/>
    </row>
    <row r="64" customFormat="false" ht="15" hidden="false" customHeight="false" outlineLevel="0" collapsed="false">
      <c r="A64" s="2" t="s">
        <v>100</v>
      </c>
      <c r="B64" s="2" t="s">
        <v>12</v>
      </c>
      <c r="C64" s="2" t="s">
        <v>35</v>
      </c>
      <c r="D64" s="3" t="n">
        <v>30000</v>
      </c>
      <c r="E64" s="4" t="s">
        <v>14</v>
      </c>
      <c r="F64" s="5" t="s">
        <v>15</v>
      </c>
      <c r="G64" s="6"/>
      <c r="H64" s="6"/>
      <c r="I64" s="6"/>
      <c r="J64" s="2" t="s">
        <v>16</v>
      </c>
      <c r="K64" s="2" t="s">
        <v>17</v>
      </c>
    </row>
    <row r="65" customFormat="false" ht="15" hidden="false" customHeight="false" outlineLevel="0" collapsed="false">
      <c r="A65" s="2" t="s">
        <v>101</v>
      </c>
      <c r="B65" s="2" t="s">
        <v>12</v>
      </c>
      <c r="C65" s="2" t="s">
        <v>13</v>
      </c>
      <c r="D65" s="3" t="n">
        <v>30000</v>
      </c>
      <c r="E65" s="4" t="s">
        <v>14</v>
      </c>
      <c r="F65" s="2" t="s">
        <v>26</v>
      </c>
      <c r="G65" s="6"/>
      <c r="H65" s="6"/>
      <c r="I65" s="6"/>
      <c r="J65" s="2" t="s">
        <v>27</v>
      </c>
      <c r="K65" s="2"/>
    </row>
    <row r="66" customFormat="false" ht="15" hidden="false" customHeight="false" outlineLevel="0" collapsed="false">
      <c r="A66" s="2" t="s">
        <v>102</v>
      </c>
      <c r="B66" s="2" t="s">
        <v>12</v>
      </c>
      <c r="C66" s="2" t="s">
        <v>103</v>
      </c>
      <c r="D66" s="3" t="n">
        <v>30000</v>
      </c>
      <c r="E66" s="4" t="s">
        <v>14</v>
      </c>
      <c r="F66" s="2" t="s">
        <v>26</v>
      </c>
      <c r="G66" s="6"/>
      <c r="H66" s="6"/>
      <c r="I66" s="6"/>
      <c r="J66" s="2" t="s">
        <v>27</v>
      </c>
      <c r="K66" s="2"/>
    </row>
    <row r="67" customFormat="false" ht="15" hidden="false" customHeight="false" outlineLevel="0" collapsed="false">
      <c r="A67" s="2" t="s">
        <v>104</v>
      </c>
      <c r="B67" s="2" t="s">
        <v>12</v>
      </c>
      <c r="C67" s="2" t="s">
        <v>105</v>
      </c>
      <c r="D67" s="3" t="n">
        <v>30000</v>
      </c>
      <c r="E67" s="4" t="s">
        <v>14</v>
      </c>
      <c r="F67" s="2" t="s">
        <v>26</v>
      </c>
      <c r="G67" s="6"/>
      <c r="H67" s="6"/>
      <c r="I67" s="6"/>
      <c r="J67" s="2" t="s">
        <v>27</v>
      </c>
      <c r="K67" s="2"/>
    </row>
    <row r="68" customFormat="false" ht="15" hidden="false" customHeight="false" outlineLevel="0" collapsed="false">
      <c r="A68" s="2" t="s">
        <v>106</v>
      </c>
      <c r="B68" s="2" t="s">
        <v>12</v>
      </c>
      <c r="C68" s="2" t="s">
        <v>107</v>
      </c>
      <c r="D68" s="3" t="n">
        <v>30000</v>
      </c>
      <c r="E68" s="4" t="s">
        <v>14</v>
      </c>
      <c r="F68" s="2" t="s">
        <v>26</v>
      </c>
      <c r="G68" s="6"/>
      <c r="H68" s="6"/>
      <c r="I68" s="6"/>
      <c r="J68" s="2" t="s">
        <v>27</v>
      </c>
      <c r="K68" s="2"/>
    </row>
    <row r="69" customFormat="false" ht="15" hidden="false" customHeight="false" outlineLevel="0" collapsed="false">
      <c r="A69" s="2" t="s">
        <v>108</v>
      </c>
      <c r="B69" s="2" t="s">
        <v>12</v>
      </c>
      <c r="C69" s="2" t="s">
        <v>68</v>
      </c>
      <c r="D69" s="3" t="n">
        <v>30000</v>
      </c>
      <c r="E69" s="4" t="s">
        <v>14</v>
      </c>
      <c r="F69" s="2" t="s">
        <v>26</v>
      </c>
      <c r="G69" s="6"/>
      <c r="H69" s="6"/>
      <c r="I69" s="6"/>
      <c r="J69" s="2" t="s">
        <v>27</v>
      </c>
      <c r="K69" s="2"/>
    </row>
    <row r="70" customFormat="false" ht="15" hidden="false" customHeight="false" outlineLevel="0" collapsed="false">
      <c r="A70" s="2" t="s">
        <v>109</v>
      </c>
      <c r="B70" s="2" t="s">
        <v>12</v>
      </c>
      <c r="C70" s="2" t="s">
        <v>13</v>
      </c>
      <c r="D70" s="3" t="n">
        <v>28000</v>
      </c>
      <c r="E70" s="4" t="s">
        <v>14</v>
      </c>
      <c r="F70" s="5" t="s">
        <v>15</v>
      </c>
      <c r="G70" s="6"/>
      <c r="H70" s="6"/>
      <c r="I70" s="6"/>
      <c r="J70" s="2" t="s">
        <v>16</v>
      </c>
      <c r="K70" s="2" t="s">
        <v>17</v>
      </c>
    </row>
    <row r="71" customFormat="false" ht="15" hidden="false" customHeight="false" outlineLevel="0" collapsed="false">
      <c r="A71" s="2" t="s">
        <v>110</v>
      </c>
      <c r="B71" s="2" t="s">
        <v>12</v>
      </c>
      <c r="C71" s="2" t="s">
        <v>13</v>
      </c>
      <c r="D71" s="3" t="n">
        <v>28000</v>
      </c>
      <c r="E71" s="4" t="s">
        <v>14</v>
      </c>
      <c r="F71" s="5" t="s">
        <v>15</v>
      </c>
      <c r="G71" s="6"/>
      <c r="H71" s="6"/>
      <c r="I71" s="6"/>
      <c r="J71" s="2" t="s">
        <v>16</v>
      </c>
      <c r="K71" s="2" t="s">
        <v>17</v>
      </c>
    </row>
    <row r="72" customFormat="false" ht="15" hidden="false" customHeight="false" outlineLevel="0" collapsed="false">
      <c r="A72" s="2" t="s">
        <v>111</v>
      </c>
      <c r="B72" s="2" t="s">
        <v>12</v>
      </c>
      <c r="C72" s="2" t="s">
        <v>112</v>
      </c>
      <c r="D72" s="3" t="n">
        <v>28000</v>
      </c>
      <c r="E72" s="4" t="s">
        <v>14</v>
      </c>
      <c r="F72" s="2" t="s">
        <v>26</v>
      </c>
      <c r="G72" s="6"/>
      <c r="H72" s="6"/>
      <c r="I72" s="6"/>
      <c r="J72" s="2" t="s">
        <v>27</v>
      </c>
      <c r="K72" s="2"/>
    </row>
    <row r="73" customFormat="false" ht="15" hidden="false" customHeight="false" outlineLevel="0" collapsed="false">
      <c r="A73" s="2" t="s">
        <v>113</v>
      </c>
      <c r="B73" s="2" t="s">
        <v>12</v>
      </c>
      <c r="C73" s="2" t="s">
        <v>103</v>
      </c>
      <c r="D73" s="3" t="n">
        <v>27000</v>
      </c>
      <c r="E73" s="4" t="s">
        <v>14</v>
      </c>
      <c r="F73" s="2" t="s">
        <v>26</v>
      </c>
      <c r="G73" s="6"/>
      <c r="H73" s="6"/>
      <c r="I73" s="6"/>
      <c r="J73" s="2" t="s">
        <v>27</v>
      </c>
      <c r="K73" s="2"/>
    </row>
    <row r="74" customFormat="false" ht="15" hidden="false" customHeight="false" outlineLevel="0" collapsed="false">
      <c r="A74" s="2" t="s">
        <v>79</v>
      </c>
      <c r="B74" s="2" t="s">
        <v>12</v>
      </c>
      <c r="C74" s="2" t="s">
        <v>79</v>
      </c>
      <c r="D74" s="3" t="n">
        <v>27000</v>
      </c>
      <c r="E74" s="4" t="s">
        <v>14</v>
      </c>
      <c r="F74" s="2" t="s">
        <v>26</v>
      </c>
      <c r="G74" s="6"/>
      <c r="H74" s="6"/>
      <c r="I74" s="6"/>
      <c r="J74" s="2" t="s">
        <v>27</v>
      </c>
      <c r="K74" s="2"/>
    </row>
    <row r="75" customFormat="false" ht="15" hidden="false" customHeight="false" outlineLevel="0" collapsed="false">
      <c r="A75" s="2" t="s">
        <v>114</v>
      </c>
      <c r="B75" s="2" t="s">
        <v>12</v>
      </c>
      <c r="C75" s="2" t="s">
        <v>23</v>
      </c>
      <c r="D75" s="3" t="n">
        <v>27000</v>
      </c>
      <c r="E75" s="4" t="s">
        <v>14</v>
      </c>
      <c r="F75" s="2" t="s">
        <v>26</v>
      </c>
      <c r="G75" s="6"/>
      <c r="H75" s="6"/>
      <c r="I75" s="6"/>
      <c r="J75" s="2" t="s">
        <v>27</v>
      </c>
      <c r="K75" s="2"/>
    </row>
    <row r="76" customFormat="false" ht="15" hidden="false" customHeight="false" outlineLevel="0" collapsed="false">
      <c r="A76" s="2" t="s">
        <v>115</v>
      </c>
      <c r="B76" s="2" t="s">
        <v>12</v>
      </c>
      <c r="C76" s="2" t="s">
        <v>85</v>
      </c>
      <c r="D76" s="3" t="n">
        <v>26000</v>
      </c>
      <c r="E76" s="4" t="s">
        <v>14</v>
      </c>
      <c r="F76" s="2" t="s">
        <v>26</v>
      </c>
      <c r="G76" s="6"/>
      <c r="H76" s="6"/>
      <c r="I76" s="6"/>
      <c r="J76" s="2" t="s">
        <v>27</v>
      </c>
      <c r="K76" s="2"/>
    </row>
    <row r="77" customFormat="false" ht="15" hidden="false" customHeight="false" outlineLevel="0" collapsed="false">
      <c r="A77" s="2" t="s">
        <v>116</v>
      </c>
      <c r="B77" s="2" t="s">
        <v>12</v>
      </c>
      <c r="C77" s="2" t="s">
        <v>35</v>
      </c>
      <c r="D77" s="3" t="n">
        <v>26000</v>
      </c>
      <c r="E77" s="4" t="s">
        <v>14</v>
      </c>
      <c r="F77" s="2" t="s">
        <v>26</v>
      </c>
      <c r="G77" s="6"/>
      <c r="H77" s="6"/>
      <c r="I77" s="6"/>
      <c r="J77" s="2" t="s">
        <v>27</v>
      </c>
      <c r="K77" s="2"/>
    </row>
    <row r="78" customFormat="false" ht="15" hidden="false" customHeight="false" outlineLevel="0" collapsed="false">
      <c r="A78" s="2" t="s">
        <v>117</v>
      </c>
      <c r="B78" s="2" t="s">
        <v>12</v>
      </c>
      <c r="C78" s="2" t="s">
        <v>112</v>
      </c>
      <c r="D78" s="3" t="n">
        <v>26000</v>
      </c>
      <c r="E78" s="4" t="s">
        <v>14</v>
      </c>
      <c r="F78" s="2" t="s">
        <v>26</v>
      </c>
      <c r="G78" s="6"/>
      <c r="H78" s="6"/>
      <c r="I78" s="6"/>
      <c r="J78" s="2" t="s">
        <v>27</v>
      </c>
      <c r="K78" s="2"/>
    </row>
    <row r="79" customFormat="false" ht="15" hidden="false" customHeight="false" outlineLevel="0" collapsed="false">
      <c r="A79" s="2" t="s">
        <v>118</v>
      </c>
      <c r="B79" s="2" t="s">
        <v>12</v>
      </c>
      <c r="C79" s="2" t="s">
        <v>23</v>
      </c>
      <c r="D79" s="3" t="n">
        <v>25000</v>
      </c>
      <c r="E79" s="4" t="s">
        <v>14</v>
      </c>
      <c r="F79" s="5" t="s">
        <v>15</v>
      </c>
      <c r="G79" s="6"/>
      <c r="H79" s="6"/>
      <c r="I79" s="6"/>
      <c r="J79" s="2" t="s">
        <v>16</v>
      </c>
      <c r="K79" s="2" t="s">
        <v>17</v>
      </c>
    </row>
    <row r="80" customFormat="false" ht="15" hidden="false" customHeight="false" outlineLevel="0" collapsed="false">
      <c r="A80" s="2" t="s">
        <v>119</v>
      </c>
      <c r="B80" s="2" t="s">
        <v>12</v>
      </c>
      <c r="C80" s="2" t="s">
        <v>79</v>
      </c>
      <c r="D80" s="3" t="n">
        <v>25000</v>
      </c>
      <c r="E80" s="4" t="s">
        <v>14</v>
      </c>
      <c r="F80" s="2" t="s">
        <v>26</v>
      </c>
      <c r="G80" s="6"/>
      <c r="H80" s="6"/>
      <c r="I80" s="6"/>
      <c r="J80" s="2" t="s">
        <v>27</v>
      </c>
      <c r="K80" s="2"/>
    </row>
    <row r="81" customFormat="false" ht="15" hidden="false" customHeight="false" outlineLevel="0" collapsed="false">
      <c r="A81" s="2" t="s">
        <v>120</v>
      </c>
      <c r="B81" s="2" t="s">
        <v>12</v>
      </c>
      <c r="C81" s="2" t="s">
        <v>112</v>
      </c>
      <c r="D81" s="3" t="n">
        <v>25000</v>
      </c>
      <c r="E81" s="4" t="s">
        <v>14</v>
      </c>
      <c r="F81" s="2" t="s">
        <v>26</v>
      </c>
      <c r="G81" s="6"/>
      <c r="H81" s="6"/>
      <c r="I81" s="6"/>
      <c r="J81" s="2" t="s">
        <v>27</v>
      </c>
      <c r="K81" s="2"/>
    </row>
    <row r="82" customFormat="false" ht="15" hidden="false" customHeight="false" outlineLevel="0" collapsed="false">
      <c r="A82" s="2" t="s">
        <v>121</v>
      </c>
      <c r="B82" s="2" t="s">
        <v>12</v>
      </c>
      <c r="C82" s="2" t="s">
        <v>112</v>
      </c>
      <c r="D82" s="3" t="n">
        <v>25000</v>
      </c>
      <c r="E82" s="4" t="s">
        <v>14</v>
      </c>
      <c r="F82" s="2" t="s">
        <v>26</v>
      </c>
      <c r="G82" s="6"/>
      <c r="H82" s="6"/>
      <c r="I82" s="6"/>
      <c r="J82" s="2" t="s">
        <v>27</v>
      </c>
      <c r="K82" s="2"/>
    </row>
    <row r="83" customFormat="false" ht="15" hidden="false" customHeight="false" outlineLevel="0" collapsed="false">
      <c r="A83" s="2" t="s">
        <v>122</v>
      </c>
      <c r="B83" s="2" t="s">
        <v>12</v>
      </c>
      <c r="C83" s="2" t="s">
        <v>56</v>
      </c>
      <c r="D83" s="3" t="n">
        <v>24000</v>
      </c>
      <c r="E83" s="4" t="s">
        <v>14</v>
      </c>
      <c r="F83" s="5" t="s">
        <v>15</v>
      </c>
      <c r="G83" s="6"/>
      <c r="H83" s="6"/>
      <c r="I83" s="6"/>
      <c r="J83" s="2" t="s">
        <v>16</v>
      </c>
      <c r="K83" s="2" t="s">
        <v>17</v>
      </c>
    </row>
    <row r="84" customFormat="false" ht="15" hidden="false" customHeight="false" outlineLevel="0" collapsed="false">
      <c r="A84" s="2" t="s">
        <v>123</v>
      </c>
      <c r="B84" s="2" t="s">
        <v>12</v>
      </c>
      <c r="C84" s="2" t="s">
        <v>13</v>
      </c>
      <c r="D84" s="3" t="n">
        <v>24000</v>
      </c>
      <c r="E84" s="4" t="s">
        <v>14</v>
      </c>
      <c r="F84" s="2" t="s">
        <v>26</v>
      </c>
      <c r="G84" s="6"/>
      <c r="H84" s="6"/>
      <c r="I84" s="6"/>
      <c r="J84" s="2" t="s">
        <v>27</v>
      </c>
      <c r="K84" s="2"/>
    </row>
    <row r="85" customFormat="false" ht="15" hidden="false" customHeight="false" outlineLevel="0" collapsed="false">
      <c r="A85" s="2" t="s">
        <v>124</v>
      </c>
      <c r="B85" s="2" t="s">
        <v>12</v>
      </c>
      <c r="C85" s="2" t="s">
        <v>13</v>
      </c>
      <c r="D85" s="3" t="n">
        <v>24000</v>
      </c>
      <c r="E85" s="4" t="s">
        <v>14</v>
      </c>
      <c r="F85" s="5" t="s">
        <v>15</v>
      </c>
      <c r="G85" s="6"/>
      <c r="H85" s="6"/>
      <c r="I85" s="6"/>
      <c r="J85" s="2" t="s">
        <v>16</v>
      </c>
      <c r="K85" s="2" t="s">
        <v>17</v>
      </c>
    </row>
    <row r="86" customFormat="false" ht="15" hidden="false" customHeight="false" outlineLevel="0" collapsed="false">
      <c r="A86" s="2" t="s">
        <v>125</v>
      </c>
      <c r="B86" s="2" t="s">
        <v>12</v>
      </c>
      <c r="C86" s="2" t="s">
        <v>13</v>
      </c>
      <c r="D86" s="3" t="n">
        <v>23000</v>
      </c>
      <c r="E86" s="4" t="s">
        <v>14</v>
      </c>
      <c r="F86" s="2" t="s">
        <v>26</v>
      </c>
      <c r="G86" s="6"/>
      <c r="H86" s="6"/>
      <c r="I86" s="6"/>
      <c r="J86" s="2" t="s">
        <v>27</v>
      </c>
      <c r="K86" s="2"/>
    </row>
    <row r="87" customFormat="false" ht="15" hidden="false" customHeight="false" outlineLevel="0" collapsed="false">
      <c r="A87" s="2" t="s">
        <v>126</v>
      </c>
      <c r="B87" s="2" t="s">
        <v>12</v>
      </c>
      <c r="C87" s="2" t="s">
        <v>56</v>
      </c>
      <c r="D87" s="3" t="n">
        <v>23000</v>
      </c>
      <c r="E87" s="4" t="s">
        <v>14</v>
      </c>
      <c r="F87" s="2" t="s">
        <v>26</v>
      </c>
      <c r="G87" s="6"/>
      <c r="H87" s="6"/>
      <c r="I87" s="6"/>
      <c r="J87" s="2" t="s">
        <v>27</v>
      </c>
      <c r="K87" s="2"/>
    </row>
    <row r="88" customFormat="false" ht="15" hidden="false" customHeight="false" outlineLevel="0" collapsed="false">
      <c r="A88" s="2" t="s">
        <v>127</v>
      </c>
      <c r="B88" s="2" t="s">
        <v>12</v>
      </c>
      <c r="C88" s="2" t="s">
        <v>56</v>
      </c>
      <c r="D88" s="3" t="n">
        <v>23000</v>
      </c>
      <c r="E88" s="4" t="s">
        <v>14</v>
      </c>
      <c r="F88" s="2" t="s">
        <v>26</v>
      </c>
      <c r="G88" s="6"/>
      <c r="H88" s="6"/>
      <c r="I88" s="6"/>
      <c r="J88" s="2" t="s">
        <v>27</v>
      </c>
      <c r="K88" s="2"/>
    </row>
    <row r="89" customFormat="false" ht="15" hidden="false" customHeight="false" outlineLevel="0" collapsed="false">
      <c r="A89" s="2" t="s">
        <v>128</v>
      </c>
      <c r="B89" s="2" t="s">
        <v>12</v>
      </c>
      <c r="C89" s="2" t="s">
        <v>13</v>
      </c>
      <c r="D89" s="3" t="n">
        <v>23000</v>
      </c>
      <c r="E89" s="4" t="s">
        <v>14</v>
      </c>
      <c r="F89" s="5" t="s">
        <v>15</v>
      </c>
      <c r="G89" s="6"/>
      <c r="H89" s="6"/>
      <c r="I89" s="6"/>
      <c r="J89" s="2" t="s">
        <v>16</v>
      </c>
      <c r="K89" s="2" t="s">
        <v>17</v>
      </c>
    </row>
    <row r="90" customFormat="false" ht="15" hidden="false" customHeight="false" outlineLevel="0" collapsed="false">
      <c r="A90" s="2" t="s">
        <v>129</v>
      </c>
      <c r="B90" s="2" t="s">
        <v>12</v>
      </c>
      <c r="C90" s="2" t="s">
        <v>13</v>
      </c>
      <c r="D90" s="3" t="n">
        <v>23000</v>
      </c>
      <c r="E90" s="4" t="s">
        <v>14</v>
      </c>
      <c r="F90" s="5" t="s">
        <v>15</v>
      </c>
      <c r="G90" s="6"/>
      <c r="H90" s="6"/>
      <c r="I90" s="6"/>
      <c r="J90" s="2" t="s">
        <v>16</v>
      </c>
      <c r="K90" s="2" t="s">
        <v>17</v>
      </c>
    </row>
    <row r="91" customFormat="false" ht="15" hidden="false" customHeight="false" outlineLevel="0" collapsed="false">
      <c r="A91" s="2" t="s">
        <v>130</v>
      </c>
      <c r="B91" s="2" t="s">
        <v>12</v>
      </c>
      <c r="C91" s="2" t="s">
        <v>85</v>
      </c>
      <c r="D91" s="3" t="n">
        <v>22000</v>
      </c>
      <c r="E91" s="4" t="s">
        <v>14</v>
      </c>
      <c r="F91" s="2" t="s">
        <v>26</v>
      </c>
      <c r="G91" s="6"/>
      <c r="H91" s="6"/>
      <c r="I91" s="6"/>
      <c r="J91" s="2" t="s">
        <v>27</v>
      </c>
      <c r="K91" s="2"/>
    </row>
    <row r="92" customFormat="false" ht="15" hidden="false" customHeight="false" outlineLevel="0" collapsed="false">
      <c r="A92" s="2" t="s">
        <v>131</v>
      </c>
      <c r="B92" s="2" t="s">
        <v>12</v>
      </c>
      <c r="C92" s="2" t="s">
        <v>87</v>
      </c>
      <c r="D92" s="3" t="n">
        <v>22000</v>
      </c>
      <c r="E92" s="4" t="s">
        <v>14</v>
      </c>
      <c r="F92" s="2" t="s">
        <v>26</v>
      </c>
      <c r="G92" s="6"/>
      <c r="H92" s="6"/>
      <c r="I92" s="6"/>
      <c r="J92" s="2" t="s">
        <v>27</v>
      </c>
      <c r="K92" s="2"/>
    </row>
    <row r="93" customFormat="false" ht="15" hidden="false" customHeight="false" outlineLevel="0" collapsed="false">
      <c r="A93" s="2" t="s">
        <v>132</v>
      </c>
      <c r="B93" s="2" t="s">
        <v>12</v>
      </c>
      <c r="C93" s="2" t="s">
        <v>56</v>
      </c>
      <c r="D93" s="3" t="n">
        <v>22000</v>
      </c>
      <c r="E93" s="4" t="s">
        <v>14</v>
      </c>
      <c r="F93" s="5" t="s">
        <v>15</v>
      </c>
      <c r="G93" s="6"/>
      <c r="H93" s="6"/>
      <c r="I93" s="6"/>
      <c r="J93" s="2" t="s">
        <v>16</v>
      </c>
      <c r="K93" s="2" t="s">
        <v>17</v>
      </c>
    </row>
    <row r="94" customFormat="false" ht="15" hidden="false" customHeight="false" outlineLevel="0" collapsed="false">
      <c r="A94" s="2" t="s">
        <v>133</v>
      </c>
      <c r="B94" s="2" t="s">
        <v>12</v>
      </c>
      <c r="C94" s="2" t="s">
        <v>56</v>
      </c>
      <c r="D94" s="3" t="n">
        <v>22000</v>
      </c>
      <c r="E94" s="4" t="s">
        <v>14</v>
      </c>
      <c r="F94" s="5" t="s">
        <v>15</v>
      </c>
      <c r="G94" s="6"/>
      <c r="H94" s="6"/>
      <c r="I94" s="6"/>
      <c r="J94" s="2" t="s">
        <v>16</v>
      </c>
      <c r="K94" s="2" t="s">
        <v>17</v>
      </c>
    </row>
    <row r="95" customFormat="false" ht="15" hidden="false" customHeight="false" outlineLevel="0" collapsed="false">
      <c r="A95" s="2" t="s">
        <v>134</v>
      </c>
      <c r="B95" s="2" t="s">
        <v>12</v>
      </c>
      <c r="C95" s="2" t="s">
        <v>56</v>
      </c>
      <c r="D95" s="3" t="n">
        <v>22000</v>
      </c>
      <c r="E95" s="4" t="s">
        <v>14</v>
      </c>
      <c r="F95" s="5" t="s">
        <v>15</v>
      </c>
      <c r="G95" s="6"/>
      <c r="H95" s="6"/>
      <c r="I95" s="6"/>
      <c r="J95" s="2" t="s">
        <v>16</v>
      </c>
      <c r="K95" s="2" t="s">
        <v>17</v>
      </c>
    </row>
    <row r="96" customFormat="false" ht="15" hidden="false" customHeight="false" outlineLevel="0" collapsed="false">
      <c r="A96" s="2" t="s">
        <v>135</v>
      </c>
      <c r="B96" s="2" t="s">
        <v>12</v>
      </c>
      <c r="C96" s="2" t="s">
        <v>136</v>
      </c>
      <c r="D96" s="3" t="n">
        <v>22000</v>
      </c>
      <c r="E96" s="4" t="s">
        <v>14</v>
      </c>
      <c r="F96" s="2" t="s">
        <v>26</v>
      </c>
      <c r="G96" s="6"/>
      <c r="H96" s="6"/>
      <c r="I96" s="6"/>
      <c r="J96" s="2" t="s">
        <v>27</v>
      </c>
      <c r="K96" s="2"/>
    </row>
    <row r="97" customFormat="false" ht="15" hidden="false" customHeight="false" outlineLevel="0" collapsed="false">
      <c r="A97" s="2" t="s">
        <v>137</v>
      </c>
      <c r="B97" s="2" t="s">
        <v>12</v>
      </c>
      <c r="C97" s="2" t="s">
        <v>23</v>
      </c>
      <c r="D97" s="3" t="n">
        <v>21500</v>
      </c>
      <c r="E97" s="4" t="s">
        <v>14</v>
      </c>
      <c r="F97" s="5" t="s">
        <v>15</v>
      </c>
      <c r="G97" s="6"/>
      <c r="H97" s="6"/>
      <c r="I97" s="6"/>
      <c r="J97" s="2" t="s">
        <v>16</v>
      </c>
      <c r="K97" s="2" t="s">
        <v>17</v>
      </c>
    </row>
    <row r="98" customFormat="false" ht="15" hidden="false" customHeight="false" outlineLevel="0" collapsed="false">
      <c r="A98" s="2" t="s">
        <v>138</v>
      </c>
      <c r="B98" s="2" t="s">
        <v>12</v>
      </c>
      <c r="C98" s="2" t="s">
        <v>35</v>
      </c>
      <c r="D98" s="3" t="n">
        <v>21000</v>
      </c>
      <c r="E98" s="4" t="s">
        <v>14</v>
      </c>
      <c r="F98" s="5" t="s">
        <v>15</v>
      </c>
      <c r="G98" s="6"/>
      <c r="H98" s="6"/>
      <c r="I98" s="6"/>
      <c r="J98" s="2" t="s">
        <v>16</v>
      </c>
      <c r="K98" s="2" t="s">
        <v>17</v>
      </c>
    </row>
    <row r="99" customFormat="false" ht="15" hidden="false" customHeight="false" outlineLevel="0" collapsed="false">
      <c r="A99" s="2" t="s">
        <v>139</v>
      </c>
      <c r="B99" s="2" t="s">
        <v>12</v>
      </c>
      <c r="C99" s="2" t="s">
        <v>56</v>
      </c>
      <c r="D99" s="3" t="n">
        <v>21000</v>
      </c>
      <c r="E99" s="4" t="s">
        <v>14</v>
      </c>
      <c r="F99" s="5" t="s">
        <v>15</v>
      </c>
      <c r="G99" s="6"/>
      <c r="H99" s="6"/>
      <c r="I99" s="6"/>
      <c r="J99" s="2" t="s">
        <v>16</v>
      </c>
      <c r="K99" s="2" t="s">
        <v>17</v>
      </c>
    </row>
    <row r="100" customFormat="false" ht="15" hidden="false" customHeight="false" outlineLevel="0" collapsed="false">
      <c r="A100" s="2" t="s">
        <v>140</v>
      </c>
      <c r="B100" s="2" t="s">
        <v>12</v>
      </c>
      <c r="C100" s="2" t="s">
        <v>23</v>
      </c>
      <c r="D100" s="3" t="n">
        <v>21000</v>
      </c>
      <c r="E100" s="4" t="s">
        <v>14</v>
      </c>
      <c r="F100" s="2" t="s">
        <v>26</v>
      </c>
      <c r="G100" s="6"/>
      <c r="H100" s="6"/>
      <c r="I100" s="6"/>
      <c r="J100" s="2" t="s">
        <v>27</v>
      </c>
      <c r="K100" s="2"/>
    </row>
    <row r="101" customFormat="false" ht="15" hidden="false" customHeight="false" outlineLevel="0" collapsed="false">
      <c r="A101" s="2" t="s">
        <v>141</v>
      </c>
      <c r="B101" s="2" t="s">
        <v>12</v>
      </c>
      <c r="C101" s="2" t="s">
        <v>35</v>
      </c>
      <c r="D101" s="3" t="n">
        <v>20000</v>
      </c>
      <c r="E101" s="4" t="s">
        <v>14</v>
      </c>
      <c r="F101" s="5" t="s">
        <v>15</v>
      </c>
      <c r="G101" s="6"/>
      <c r="H101" s="6"/>
      <c r="I101" s="6"/>
      <c r="J101" s="2" t="s">
        <v>16</v>
      </c>
      <c r="K101" s="2" t="s">
        <v>17</v>
      </c>
    </row>
    <row r="102" customFormat="false" ht="15" hidden="false" customHeight="false" outlineLevel="0" collapsed="false">
      <c r="A102" s="2" t="s">
        <v>142</v>
      </c>
      <c r="B102" s="2" t="s">
        <v>12</v>
      </c>
      <c r="C102" s="2" t="s">
        <v>35</v>
      </c>
      <c r="D102" s="3" t="n">
        <v>20000</v>
      </c>
      <c r="E102" s="4" t="s">
        <v>14</v>
      </c>
      <c r="F102" s="2" t="s">
        <v>26</v>
      </c>
      <c r="G102" s="6"/>
      <c r="H102" s="6"/>
      <c r="I102" s="6"/>
      <c r="J102" s="2" t="s">
        <v>27</v>
      </c>
      <c r="K102" s="2"/>
    </row>
    <row r="103" customFormat="false" ht="15" hidden="false" customHeight="false" outlineLevel="0" collapsed="false">
      <c r="A103" s="2" t="s">
        <v>143</v>
      </c>
      <c r="B103" s="2" t="s">
        <v>12</v>
      </c>
      <c r="C103" s="2" t="s">
        <v>23</v>
      </c>
      <c r="D103" s="3" t="n">
        <v>20000</v>
      </c>
      <c r="E103" s="4" t="s">
        <v>14</v>
      </c>
      <c r="F103" s="2" t="s">
        <v>26</v>
      </c>
      <c r="G103" s="6"/>
      <c r="H103" s="6"/>
      <c r="I103" s="6"/>
      <c r="J103" s="2" t="s">
        <v>27</v>
      </c>
      <c r="K103" s="2"/>
    </row>
    <row r="104" customFormat="false" ht="15" hidden="false" customHeight="false" outlineLevel="0" collapsed="false">
      <c r="A104" s="2" t="s">
        <v>144</v>
      </c>
      <c r="B104" s="2" t="s">
        <v>12</v>
      </c>
      <c r="C104" s="2" t="s">
        <v>72</v>
      </c>
      <c r="D104" s="3" t="n">
        <v>19000</v>
      </c>
      <c r="E104" s="4" t="s">
        <v>14</v>
      </c>
      <c r="F104" s="5" t="s">
        <v>15</v>
      </c>
      <c r="G104" s="6"/>
      <c r="H104" s="6"/>
      <c r="I104" s="6"/>
      <c r="J104" s="2" t="s">
        <v>16</v>
      </c>
      <c r="K104" s="2" t="s">
        <v>17</v>
      </c>
    </row>
    <row r="105" customFormat="false" ht="15" hidden="false" customHeight="false" outlineLevel="0" collapsed="false">
      <c r="A105" s="2" t="s">
        <v>145</v>
      </c>
      <c r="B105" s="2" t="s">
        <v>12</v>
      </c>
      <c r="C105" s="2" t="s">
        <v>35</v>
      </c>
      <c r="D105" s="3" t="n">
        <v>19000</v>
      </c>
      <c r="E105" s="4" t="s">
        <v>14</v>
      </c>
      <c r="F105" s="5" t="s">
        <v>15</v>
      </c>
      <c r="G105" s="6"/>
      <c r="H105" s="6"/>
      <c r="I105" s="6"/>
      <c r="J105" s="2" t="s">
        <v>16</v>
      </c>
      <c r="K105" s="2" t="s">
        <v>17</v>
      </c>
    </row>
    <row r="106" customFormat="false" ht="15" hidden="false" customHeight="false" outlineLevel="0" collapsed="false">
      <c r="A106" s="2" t="s">
        <v>146</v>
      </c>
      <c r="B106" s="2" t="s">
        <v>12</v>
      </c>
      <c r="C106" s="2" t="s">
        <v>23</v>
      </c>
      <c r="D106" s="3" t="n">
        <v>19000</v>
      </c>
      <c r="E106" s="4" t="s">
        <v>14</v>
      </c>
      <c r="F106" s="2" t="s">
        <v>26</v>
      </c>
      <c r="G106" s="6"/>
      <c r="H106" s="6"/>
      <c r="I106" s="6"/>
      <c r="J106" s="2" t="s">
        <v>27</v>
      </c>
      <c r="K106" s="2"/>
    </row>
    <row r="107" customFormat="false" ht="15" hidden="false" customHeight="false" outlineLevel="0" collapsed="false">
      <c r="A107" s="2" t="s">
        <v>147</v>
      </c>
      <c r="B107" s="2" t="s">
        <v>12</v>
      </c>
      <c r="C107" s="2" t="s">
        <v>13</v>
      </c>
      <c r="D107" s="3" t="n">
        <v>19000</v>
      </c>
      <c r="E107" s="4" t="s">
        <v>14</v>
      </c>
      <c r="F107" s="5" t="s">
        <v>15</v>
      </c>
      <c r="G107" s="6"/>
      <c r="H107" s="6"/>
      <c r="I107" s="6"/>
      <c r="J107" s="2" t="s">
        <v>16</v>
      </c>
      <c r="K107" s="2" t="s">
        <v>17</v>
      </c>
    </row>
    <row r="108" customFormat="false" ht="15" hidden="false" customHeight="false" outlineLevel="0" collapsed="false">
      <c r="A108" s="2" t="s">
        <v>148</v>
      </c>
      <c r="B108" s="2" t="s">
        <v>12</v>
      </c>
      <c r="C108" s="2" t="s">
        <v>13</v>
      </c>
      <c r="D108" s="3" t="n">
        <v>19000</v>
      </c>
      <c r="E108" s="4" t="s">
        <v>14</v>
      </c>
      <c r="F108" s="5" t="s">
        <v>15</v>
      </c>
      <c r="G108" s="6"/>
      <c r="H108" s="6"/>
      <c r="I108" s="6"/>
      <c r="J108" s="2" t="s">
        <v>16</v>
      </c>
      <c r="K108" s="2" t="s">
        <v>17</v>
      </c>
    </row>
    <row r="109" customFormat="false" ht="15" hidden="false" customHeight="false" outlineLevel="0" collapsed="false">
      <c r="A109" s="2" t="s">
        <v>149</v>
      </c>
      <c r="B109" s="2" t="s">
        <v>12</v>
      </c>
      <c r="C109" s="2" t="s">
        <v>35</v>
      </c>
      <c r="D109" s="3" t="n">
        <v>18500</v>
      </c>
      <c r="E109" s="4" t="s">
        <v>14</v>
      </c>
      <c r="F109" s="5" t="s">
        <v>15</v>
      </c>
      <c r="G109" s="6"/>
      <c r="H109" s="6"/>
      <c r="I109" s="6"/>
      <c r="J109" s="2" t="s">
        <v>16</v>
      </c>
      <c r="K109" s="2" t="s">
        <v>17</v>
      </c>
    </row>
    <row r="110" customFormat="false" ht="15" hidden="false" customHeight="false" outlineLevel="0" collapsed="false">
      <c r="A110" s="2" t="s">
        <v>150</v>
      </c>
      <c r="B110" s="2" t="s">
        <v>12</v>
      </c>
      <c r="C110" s="2" t="s">
        <v>13</v>
      </c>
      <c r="D110" s="3" t="n">
        <v>18000</v>
      </c>
      <c r="E110" s="4" t="s">
        <v>14</v>
      </c>
      <c r="F110" s="5" t="s">
        <v>15</v>
      </c>
      <c r="G110" s="6"/>
      <c r="H110" s="6"/>
      <c r="I110" s="6"/>
      <c r="J110" s="2" t="s">
        <v>16</v>
      </c>
      <c r="K110" s="2" t="s">
        <v>17</v>
      </c>
    </row>
    <row r="111" customFormat="false" ht="15" hidden="false" customHeight="false" outlineLevel="0" collapsed="false">
      <c r="A111" s="2" t="s">
        <v>151</v>
      </c>
      <c r="B111" s="2" t="s">
        <v>12</v>
      </c>
      <c r="C111" s="2" t="s">
        <v>68</v>
      </c>
      <c r="D111" s="3" t="n">
        <v>18000</v>
      </c>
      <c r="E111" s="4" t="s">
        <v>14</v>
      </c>
      <c r="F111" s="2" t="s">
        <v>26</v>
      </c>
      <c r="G111" s="6"/>
      <c r="H111" s="6"/>
      <c r="I111" s="6"/>
      <c r="J111" s="2" t="s">
        <v>27</v>
      </c>
      <c r="K111" s="2"/>
    </row>
    <row r="112" customFormat="false" ht="15" hidden="false" customHeight="false" outlineLevel="0" collapsed="false">
      <c r="A112" s="2" t="s">
        <v>152</v>
      </c>
      <c r="B112" s="2" t="s">
        <v>12</v>
      </c>
      <c r="C112" s="2" t="s">
        <v>153</v>
      </c>
      <c r="D112" s="3" t="n">
        <v>18000</v>
      </c>
      <c r="E112" s="4" t="s">
        <v>14</v>
      </c>
      <c r="F112" s="2" t="s">
        <v>26</v>
      </c>
      <c r="G112" s="6"/>
      <c r="H112" s="6"/>
      <c r="I112" s="6"/>
      <c r="J112" s="2" t="s">
        <v>27</v>
      </c>
      <c r="K112" s="2"/>
    </row>
    <row r="113" customFormat="false" ht="15" hidden="false" customHeight="false" outlineLevel="0" collapsed="false">
      <c r="A113" s="2" t="s">
        <v>154</v>
      </c>
      <c r="B113" s="2" t="s">
        <v>12</v>
      </c>
      <c r="C113" s="2" t="s">
        <v>56</v>
      </c>
      <c r="D113" s="3" t="n">
        <v>17000</v>
      </c>
      <c r="E113" s="4" t="s">
        <v>14</v>
      </c>
      <c r="F113" s="5" t="s">
        <v>15</v>
      </c>
      <c r="G113" s="6"/>
      <c r="H113" s="6"/>
      <c r="I113" s="6"/>
      <c r="J113" s="2" t="s">
        <v>16</v>
      </c>
      <c r="K113" s="2" t="s">
        <v>17</v>
      </c>
    </row>
    <row r="114" customFormat="false" ht="15" hidden="false" customHeight="false" outlineLevel="0" collapsed="false">
      <c r="A114" s="2" t="s">
        <v>155</v>
      </c>
      <c r="B114" s="2" t="s">
        <v>12</v>
      </c>
      <c r="C114" s="2" t="s">
        <v>156</v>
      </c>
      <c r="D114" s="3" t="n">
        <v>17000</v>
      </c>
      <c r="E114" s="4" t="s">
        <v>14</v>
      </c>
      <c r="F114" s="2" t="s">
        <v>26</v>
      </c>
      <c r="G114" s="6"/>
      <c r="H114" s="6"/>
      <c r="I114" s="6"/>
      <c r="J114" s="2" t="s">
        <v>27</v>
      </c>
      <c r="K114" s="2"/>
    </row>
    <row r="115" customFormat="false" ht="15" hidden="false" customHeight="false" outlineLevel="0" collapsed="false">
      <c r="A115" s="2" t="s">
        <v>157</v>
      </c>
      <c r="B115" s="2" t="s">
        <v>12</v>
      </c>
      <c r="C115" s="2" t="s">
        <v>23</v>
      </c>
      <c r="D115" s="3" t="n">
        <v>17000</v>
      </c>
      <c r="E115" s="4" t="s">
        <v>14</v>
      </c>
      <c r="F115" s="2" t="s">
        <v>26</v>
      </c>
      <c r="G115" s="6"/>
      <c r="H115" s="6"/>
      <c r="I115" s="6"/>
      <c r="J115" s="2" t="s">
        <v>27</v>
      </c>
      <c r="K115" s="2"/>
    </row>
    <row r="116" customFormat="false" ht="15" hidden="false" customHeight="false" outlineLevel="0" collapsed="false">
      <c r="A116" s="2" t="s">
        <v>158</v>
      </c>
      <c r="B116" s="2" t="s">
        <v>12</v>
      </c>
      <c r="C116" s="2" t="s">
        <v>35</v>
      </c>
      <c r="D116" s="3" t="n">
        <v>14000</v>
      </c>
      <c r="E116" s="4" t="s">
        <v>14</v>
      </c>
      <c r="F116" s="5" t="s">
        <v>15</v>
      </c>
      <c r="G116" s="6"/>
      <c r="H116" s="6"/>
      <c r="I116" s="6"/>
      <c r="J116" s="2" t="s">
        <v>16</v>
      </c>
      <c r="K116" s="2" t="s">
        <v>17</v>
      </c>
    </row>
    <row r="117" customFormat="false" ht="15" hidden="false" customHeight="false" outlineLevel="0" collapsed="false">
      <c r="A117" s="2" t="s">
        <v>159</v>
      </c>
      <c r="B117" s="2" t="s">
        <v>12</v>
      </c>
      <c r="C117" s="2" t="s">
        <v>56</v>
      </c>
      <c r="D117" s="3" t="n">
        <v>14000</v>
      </c>
      <c r="E117" s="4" t="s">
        <v>14</v>
      </c>
      <c r="F117" s="5" t="s">
        <v>15</v>
      </c>
      <c r="G117" s="6"/>
      <c r="H117" s="6"/>
      <c r="I117" s="6"/>
      <c r="J117" s="2" t="s">
        <v>16</v>
      </c>
      <c r="K117" s="2" t="s">
        <v>17</v>
      </c>
    </row>
    <row r="118" customFormat="false" ht="15" hidden="false" customHeight="false" outlineLevel="0" collapsed="false">
      <c r="A118" s="2" t="s">
        <v>160</v>
      </c>
      <c r="B118" s="2" t="s">
        <v>12</v>
      </c>
      <c r="C118" s="2" t="s">
        <v>56</v>
      </c>
      <c r="D118" s="3" t="n">
        <v>13000</v>
      </c>
      <c r="E118" s="4" t="s">
        <v>14</v>
      </c>
      <c r="F118" s="5" t="s">
        <v>15</v>
      </c>
      <c r="G118" s="6"/>
      <c r="H118" s="6"/>
      <c r="I118" s="6"/>
      <c r="J118" s="2" t="s">
        <v>16</v>
      </c>
      <c r="K118" s="2" t="s">
        <v>17</v>
      </c>
    </row>
    <row r="119" customFormat="false" ht="15" hidden="false" customHeight="false" outlineLevel="0" collapsed="false">
      <c r="A119" s="2" t="s">
        <v>161</v>
      </c>
      <c r="B119" s="2" t="s">
        <v>12</v>
      </c>
      <c r="C119" s="2" t="s">
        <v>23</v>
      </c>
      <c r="D119" s="3" t="n">
        <v>13000</v>
      </c>
      <c r="E119" s="4" t="s">
        <v>14</v>
      </c>
      <c r="F119" s="2" t="s">
        <v>26</v>
      </c>
      <c r="G119" s="6"/>
      <c r="H119" s="6"/>
      <c r="I119" s="6"/>
      <c r="J119" s="2" t="s">
        <v>27</v>
      </c>
      <c r="K119" s="2"/>
    </row>
    <row r="120" customFormat="false" ht="15" hidden="false" customHeight="false" outlineLevel="0" collapsed="false">
      <c r="A120" s="2" t="s">
        <v>162</v>
      </c>
      <c r="B120" s="2" t="s">
        <v>12</v>
      </c>
      <c r="C120" s="2" t="s">
        <v>13</v>
      </c>
      <c r="D120" s="3" t="n">
        <v>12000</v>
      </c>
      <c r="E120" s="4" t="s">
        <v>14</v>
      </c>
      <c r="F120" s="5" t="s">
        <v>15</v>
      </c>
      <c r="G120" s="6"/>
      <c r="H120" s="6"/>
      <c r="I120" s="6"/>
      <c r="J120" s="2" t="s">
        <v>16</v>
      </c>
      <c r="K120" s="2" t="s">
        <v>17</v>
      </c>
    </row>
    <row r="121" customFormat="false" ht="15" hidden="false" customHeight="false" outlineLevel="0" collapsed="false">
      <c r="A121" s="2" t="s">
        <v>163</v>
      </c>
      <c r="B121" s="2" t="s">
        <v>12</v>
      </c>
      <c r="C121" s="2" t="s">
        <v>13</v>
      </c>
      <c r="D121" s="3" t="n">
        <v>12000</v>
      </c>
      <c r="E121" s="4" t="s">
        <v>14</v>
      </c>
      <c r="F121" s="2" t="s">
        <v>26</v>
      </c>
      <c r="G121" s="6"/>
      <c r="H121" s="6"/>
      <c r="I121" s="6"/>
      <c r="J121" s="2" t="s">
        <v>27</v>
      </c>
      <c r="K121" s="2"/>
    </row>
    <row r="122" customFormat="false" ht="15" hidden="false" customHeight="false" outlineLevel="0" collapsed="false">
      <c r="A122" s="2" t="s">
        <v>164</v>
      </c>
      <c r="B122" s="2" t="s">
        <v>12</v>
      </c>
      <c r="C122" s="2" t="s">
        <v>165</v>
      </c>
      <c r="D122" s="3" t="n">
        <v>11000</v>
      </c>
      <c r="E122" s="4" t="s">
        <v>14</v>
      </c>
      <c r="F122" s="2" t="s">
        <v>26</v>
      </c>
      <c r="G122" s="6"/>
      <c r="H122" s="6"/>
      <c r="I122" s="6"/>
      <c r="J122" s="2" t="s">
        <v>27</v>
      </c>
      <c r="K122" s="2"/>
    </row>
    <row r="123" customFormat="false" ht="15" hidden="false" customHeight="false" outlineLevel="0" collapsed="false">
      <c r="A123" s="2" t="s">
        <v>166</v>
      </c>
      <c r="B123" s="2" t="s">
        <v>12</v>
      </c>
      <c r="C123" s="2" t="s">
        <v>167</v>
      </c>
      <c r="D123" s="3" t="n">
        <v>10000</v>
      </c>
      <c r="E123" s="4" t="s">
        <v>14</v>
      </c>
      <c r="F123" s="5" t="s">
        <v>15</v>
      </c>
      <c r="G123" s="6"/>
      <c r="H123" s="6"/>
      <c r="I123" s="6"/>
      <c r="J123" s="2" t="s">
        <v>16</v>
      </c>
      <c r="K123" s="2" t="s">
        <v>17</v>
      </c>
    </row>
    <row r="124" customFormat="false" ht="15" hidden="false" customHeight="false" outlineLevel="0" collapsed="false">
      <c r="A124" s="2" t="s">
        <v>168</v>
      </c>
      <c r="B124" s="2" t="s">
        <v>12</v>
      </c>
      <c r="C124" s="2" t="s">
        <v>56</v>
      </c>
      <c r="D124" s="3" t="n">
        <v>9200</v>
      </c>
      <c r="E124" s="7" t="s">
        <v>169</v>
      </c>
      <c r="F124" s="5" t="s">
        <v>15</v>
      </c>
      <c r="G124" s="6"/>
      <c r="H124" s="6"/>
      <c r="I124" s="6"/>
      <c r="J124" s="2" t="s">
        <v>16</v>
      </c>
      <c r="K124" s="2" t="s">
        <v>17</v>
      </c>
    </row>
    <row r="125" customFormat="false" ht="15" hidden="false" customHeight="false" outlineLevel="0" collapsed="false">
      <c r="A125" s="2" t="s">
        <v>170</v>
      </c>
      <c r="B125" s="2" t="s">
        <v>12</v>
      </c>
      <c r="C125" s="2" t="s">
        <v>13</v>
      </c>
      <c r="D125" s="3" t="n">
        <v>9000</v>
      </c>
      <c r="E125" s="7" t="s">
        <v>169</v>
      </c>
      <c r="F125" s="5" t="s">
        <v>15</v>
      </c>
      <c r="G125" s="6"/>
      <c r="H125" s="6"/>
      <c r="I125" s="6"/>
      <c r="J125" s="2" t="s">
        <v>16</v>
      </c>
      <c r="K125" s="2" t="s">
        <v>17</v>
      </c>
    </row>
    <row r="126" customFormat="false" ht="15" hidden="false" customHeight="false" outlineLevel="0" collapsed="false">
      <c r="A126" s="2" t="s">
        <v>171</v>
      </c>
      <c r="B126" s="2" t="s">
        <v>12</v>
      </c>
      <c r="C126" s="2" t="s">
        <v>56</v>
      </c>
      <c r="D126" s="3" t="n">
        <v>9000</v>
      </c>
      <c r="E126" s="7" t="s">
        <v>169</v>
      </c>
      <c r="F126" s="5" t="s">
        <v>15</v>
      </c>
      <c r="G126" s="6"/>
      <c r="H126" s="6"/>
      <c r="I126" s="6"/>
      <c r="J126" s="2" t="s">
        <v>16</v>
      </c>
      <c r="K126" s="2" t="s">
        <v>17</v>
      </c>
    </row>
    <row r="127" customFormat="false" ht="15" hidden="false" customHeight="false" outlineLevel="0" collapsed="false">
      <c r="A127" s="2" t="s">
        <v>172</v>
      </c>
      <c r="B127" s="2" t="s">
        <v>12</v>
      </c>
      <c r="C127" s="2" t="s">
        <v>56</v>
      </c>
      <c r="D127" s="3" t="n">
        <v>8500</v>
      </c>
      <c r="E127" s="7" t="s">
        <v>169</v>
      </c>
      <c r="F127" s="5" t="s">
        <v>15</v>
      </c>
      <c r="G127" s="6"/>
      <c r="H127" s="6"/>
      <c r="I127" s="6"/>
      <c r="J127" s="2" t="s">
        <v>16</v>
      </c>
      <c r="K127" s="2" t="s">
        <v>17</v>
      </c>
    </row>
    <row r="128" customFormat="false" ht="15" hidden="false" customHeight="false" outlineLevel="0" collapsed="false">
      <c r="A128" s="2" t="s">
        <v>173</v>
      </c>
      <c r="B128" s="2" t="s">
        <v>12</v>
      </c>
      <c r="C128" s="2" t="s">
        <v>13</v>
      </c>
      <c r="D128" s="3" t="n">
        <v>7000</v>
      </c>
      <c r="E128" s="7" t="s">
        <v>169</v>
      </c>
      <c r="F128" s="2" t="s">
        <v>26</v>
      </c>
      <c r="G128" s="6"/>
      <c r="H128" s="6"/>
      <c r="I128" s="6"/>
      <c r="J128" s="2" t="s">
        <v>27</v>
      </c>
      <c r="K128" s="2"/>
    </row>
    <row r="129" customFormat="false" ht="15" hidden="false" customHeight="false" outlineLevel="0" collapsed="false">
      <c r="A129" s="2" t="s">
        <v>174</v>
      </c>
      <c r="B129" s="2" t="s">
        <v>12</v>
      </c>
      <c r="C129" s="2" t="s">
        <v>13</v>
      </c>
      <c r="D129" s="3" t="n">
        <v>2500</v>
      </c>
      <c r="E129" s="8" t="s">
        <v>175</v>
      </c>
      <c r="F129" s="5" t="s">
        <v>15</v>
      </c>
      <c r="G129" s="6"/>
      <c r="H129" s="6"/>
      <c r="I129" s="6"/>
      <c r="J129" s="2" t="s">
        <v>16</v>
      </c>
      <c r="K129" s="2" t="s">
        <v>17</v>
      </c>
    </row>
    <row r="130" customFormat="false" ht="15" hidden="false" customHeight="false" outlineLevel="0" collapsed="false">
      <c r="A130" s="2" t="s">
        <v>176</v>
      </c>
      <c r="B130" s="2" t="s">
        <v>177</v>
      </c>
      <c r="C130" s="2" t="s">
        <v>152</v>
      </c>
      <c r="D130" s="3" t="n">
        <v>887000</v>
      </c>
      <c r="E130" s="4" t="s">
        <v>14</v>
      </c>
      <c r="F130" s="2" t="s">
        <v>26</v>
      </c>
      <c r="G130" s="6"/>
      <c r="H130" s="6"/>
      <c r="I130" s="6"/>
      <c r="J130" s="2" t="s">
        <v>27</v>
      </c>
      <c r="K130" s="2"/>
    </row>
    <row r="131" customFormat="false" ht="15" hidden="false" customHeight="false" outlineLevel="0" collapsed="false">
      <c r="A131" s="2" t="s">
        <v>178</v>
      </c>
      <c r="B131" s="2" t="s">
        <v>177</v>
      </c>
      <c r="C131" s="2" t="s">
        <v>179</v>
      </c>
      <c r="D131" s="3" t="n">
        <v>264000</v>
      </c>
      <c r="E131" s="4" t="s">
        <v>14</v>
      </c>
      <c r="F131" s="2" t="s">
        <v>26</v>
      </c>
      <c r="G131" s="6"/>
      <c r="H131" s="6"/>
      <c r="I131" s="6"/>
      <c r="J131" s="2" t="s">
        <v>27</v>
      </c>
      <c r="K131" s="2"/>
    </row>
    <row r="132" customFormat="false" ht="15" hidden="false" customHeight="false" outlineLevel="0" collapsed="false">
      <c r="A132" s="2" t="s">
        <v>180</v>
      </c>
      <c r="B132" s="2" t="s">
        <v>177</v>
      </c>
      <c r="C132" s="2" t="s">
        <v>181</v>
      </c>
      <c r="D132" s="3" t="n">
        <v>118000</v>
      </c>
      <c r="E132" s="4" t="s">
        <v>14</v>
      </c>
      <c r="F132" s="2" t="s">
        <v>26</v>
      </c>
      <c r="G132" s="6"/>
      <c r="H132" s="6"/>
      <c r="I132" s="6"/>
      <c r="J132" s="2" t="s">
        <v>27</v>
      </c>
      <c r="K132" s="2"/>
    </row>
    <row r="133" customFormat="false" ht="15" hidden="false" customHeight="false" outlineLevel="0" collapsed="false">
      <c r="A133" s="2" t="s">
        <v>182</v>
      </c>
      <c r="B133" s="2" t="s">
        <v>177</v>
      </c>
      <c r="C133" s="2" t="s">
        <v>183</v>
      </c>
      <c r="D133" s="3" t="n">
        <v>103000</v>
      </c>
      <c r="E133" s="4" t="s">
        <v>14</v>
      </c>
      <c r="F133" s="2" t="s">
        <v>26</v>
      </c>
      <c r="G133" s="6"/>
      <c r="H133" s="6"/>
      <c r="I133" s="6"/>
      <c r="J133" s="2" t="s">
        <v>27</v>
      </c>
      <c r="K133" s="2"/>
    </row>
    <row r="134" customFormat="false" ht="15" hidden="false" customHeight="false" outlineLevel="0" collapsed="false">
      <c r="A134" s="2" t="s">
        <v>184</v>
      </c>
      <c r="B134" s="2" t="s">
        <v>177</v>
      </c>
      <c r="C134" s="2" t="s">
        <v>185</v>
      </c>
      <c r="D134" s="3" t="n">
        <v>101000</v>
      </c>
      <c r="E134" s="4" t="s">
        <v>14</v>
      </c>
      <c r="F134" s="2" t="s">
        <v>26</v>
      </c>
      <c r="G134" s="6"/>
      <c r="H134" s="6"/>
      <c r="I134" s="6"/>
      <c r="J134" s="2" t="s">
        <v>27</v>
      </c>
      <c r="K134" s="2"/>
    </row>
    <row r="135" customFormat="false" ht="15" hidden="false" customHeight="false" outlineLevel="0" collapsed="false">
      <c r="A135" s="2" t="s">
        <v>186</v>
      </c>
      <c r="B135" s="2" t="s">
        <v>177</v>
      </c>
      <c r="C135" s="2" t="s">
        <v>185</v>
      </c>
      <c r="D135" s="3" t="n">
        <v>99000</v>
      </c>
      <c r="E135" s="4" t="s">
        <v>14</v>
      </c>
      <c r="F135" s="2" t="s">
        <v>26</v>
      </c>
      <c r="G135" s="6"/>
      <c r="H135" s="6"/>
      <c r="I135" s="6"/>
      <c r="J135" s="2" t="s">
        <v>27</v>
      </c>
      <c r="K135" s="2"/>
    </row>
    <row r="136" customFormat="false" ht="15" hidden="false" customHeight="false" outlineLevel="0" collapsed="false">
      <c r="A136" s="2" t="s">
        <v>37</v>
      </c>
      <c r="B136" s="2" t="s">
        <v>177</v>
      </c>
      <c r="C136" s="2" t="s">
        <v>187</v>
      </c>
      <c r="D136" s="3" t="n">
        <v>84000</v>
      </c>
      <c r="E136" s="4" t="s">
        <v>14</v>
      </c>
      <c r="F136" s="2" t="s">
        <v>26</v>
      </c>
      <c r="G136" s="6"/>
      <c r="H136" s="6"/>
      <c r="I136" s="6"/>
      <c r="J136" s="2" t="s">
        <v>27</v>
      </c>
      <c r="K136" s="2"/>
    </row>
    <row r="137" customFormat="false" ht="15" hidden="false" customHeight="false" outlineLevel="0" collapsed="false">
      <c r="A137" s="2" t="s">
        <v>188</v>
      </c>
      <c r="B137" s="2" t="s">
        <v>177</v>
      </c>
      <c r="C137" s="2" t="s">
        <v>35</v>
      </c>
      <c r="D137" s="3" t="n">
        <v>77000</v>
      </c>
      <c r="E137" s="4" t="s">
        <v>14</v>
      </c>
      <c r="F137" s="2" t="s">
        <v>26</v>
      </c>
      <c r="G137" s="6"/>
      <c r="H137" s="6"/>
      <c r="I137" s="6"/>
      <c r="J137" s="2" t="s">
        <v>27</v>
      </c>
      <c r="K137" s="2"/>
    </row>
    <row r="138" customFormat="false" ht="15" hidden="false" customHeight="false" outlineLevel="0" collapsed="false">
      <c r="A138" s="2" t="s">
        <v>189</v>
      </c>
      <c r="B138" s="2" t="s">
        <v>177</v>
      </c>
      <c r="C138" s="2" t="s">
        <v>35</v>
      </c>
      <c r="D138" s="3" t="n">
        <v>69000</v>
      </c>
      <c r="E138" s="4" t="s">
        <v>14</v>
      </c>
      <c r="F138" s="2" t="s">
        <v>26</v>
      </c>
      <c r="G138" s="6"/>
      <c r="H138" s="6"/>
      <c r="I138" s="6"/>
      <c r="J138" s="2" t="s">
        <v>27</v>
      </c>
      <c r="K138" s="2"/>
    </row>
    <row r="139" customFormat="false" ht="15" hidden="false" customHeight="false" outlineLevel="0" collapsed="false">
      <c r="A139" s="2" t="s">
        <v>190</v>
      </c>
      <c r="B139" s="2" t="s">
        <v>177</v>
      </c>
      <c r="C139" s="2" t="s">
        <v>185</v>
      </c>
      <c r="D139" s="3" t="n">
        <v>69000</v>
      </c>
      <c r="E139" s="4" t="s">
        <v>14</v>
      </c>
      <c r="F139" s="2" t="s">
        <v>26</v>
      </c>
      <c r="G139" s="6"/>
      <c r="H139" s="6"/>
      <c r="I139" s="6"/>
      <c r="J139" s="2" t="s">
        <v>27</v>
      </c>
      <c r="K139" s="2"/>
    </row>
    <row r="140" customFormat="false" ht="15" hidden="false" customHeight="false" outlineLevel="0" collapsed="false">
      <c r="A140" s="2" t="s">
        <v>191</v>
      </c>
      <c r="B140" s="2" t="s">
        <v>177</v>
      </c>
      <c r="C140" s="2" t="s">
        <v>192</v>
      </c>
      <c r="D140" s="3" t="n">
        <v>67000</v>
      </c>
      <c r="E140" s="4" t="s">
        <v>14</v>
      </c>
      <c r="F140" s="2" t="s">
        <v>26</v>
      </c>
      <c r="G140" s="6"/>
      <c r="H140" s="6"/>
      <c r="I140" s="6"/>
      <c r="J140" s="2" t="s">
        <v>27</v>
      </c>
      <c r="K140" s="2"/>
    </row>
    <row r="141" customFormat="false" ht="15" hidden="false" customHeight="false" outlineLevel="0" collapsed="false">
      <c r="A141" s="2" t="s">
        <v>193</v>
      </c>
      <c r="B141" s="2" t="s">
        <v>177</v>
      </c>
      <c r="C141" s="2" t="s">
        <v>194</v>
      </c>
      <c r="D141" s="3" t="n">
        <v>65000</v>
      </c>
      <c r="E141" s="4" t="s">
        <v>14</v>
      </c>
      <c r="F141" s="2" t="s">
        <v>26</v>
      </c>
      <c r="G141" s="6"/>
      <c r="H141" s="6"/>
      <c r="I141" s="6"/>
      <c r="J141" s="2" t="s">
        <v>27</v>
      </c>
      <c r="K141" s="2"/>
    </row>
    <row r="142" customFormat="false" ht="15" hidden="false" customHeight="false" outlineLevel="0" collapsed="false">
      <c r="A142" s="2" t="s">
        <v>195</v>
      </c>
      <c r="B142" s="2" t="s">
        <v>177</v>
      </c>
      <c r="C142" s="2" t="s">
        <v>196</v>
      </c>
      <c r="D142" s="3" t="n">
        <v>61000</v>
      </c>
      <c r="E142" s="4" t="s">
        <v>14</v>
      </c>
      <c r="F142" s="2" t="s">
        <v>26</v>
      </c>
      <c r="G142" s="6"/>
      <c r="H142" s="6"/>
      <c r="I142" s="6"/>
      <c r="J142" s="2" t="s">
        <v>27</v>
      </c>
      <c r="K142" s="2"/>
    </row>
    <row r="143" customFormat="false" ht="15" hidden="false" customHeight="false" outlineLevel="0" collapsed="false">
      <c r="A143" s="2" t="s">
        <v>197</v>
      </c>
      <c r="B143" s="2" t="s">
        <v>177</v>
      </c>
      <c r="C143" s="2" t="s">
        <v>198</v>
      </c>
      <c r="D143" s="3" t="n">
        <v>58000</v>
      </c>
      <c r="E143" s="4" t="s">
        <v>14</v>
      </c>
      <c r="F143" s="2" t="s">
        <v>26</v>
      </c>
      <c r="G143" s="6"/>
      <c r="H143" s="6"/>
      <c r="I143" s="6"/>
      <c r="J143" s="2" t="s">
        <v>27</v>
      </c>
      <c r="K143" s="2"/>
    </row>
    <row r="144" customFormat="false" ht="15" hidden="false" customHeight="false" outlineLevel="0" collapsed="false">
      <c r="A144" s="2" t="s">
        <v>199</v>
      </c>
      <c r="B144" s="2" t="s">
        <v>177</v>
      </c>
      <c r="C144" s="2" t="s">
        <v>200</v>
      </c>
      <c r="D144" s="3" t="n">
        <v>58000</v>
      </c>
      <c r="E144" s="4" t="s">
        <v>14</v>
      </c>
      <c r="F144" s="2" t="s">
        <v>26</v>
      </c>
      <c r="G144" s="6"/>
      <c r="H144" s="6"/>
      <c r="I144" s="6"/>
      <c r="J144" s="2" t="s">
        <v>27</v>
      </c>
      <c r="K144" s="2"/>
    </row>
    <row r="145" customFormat="false" ht="15" hidden="false" customHeight="false" outlineLevel="0" collapsed="false">
      <c r="A145" s="2" t="s">
        <v>201</v>
      </c>
      <c r="B145" s="2" t="s">
        <v>177</v>
      </c>
      <c r="C145" s="2" t="s">
        <v>112</v>
      </c>
      <c r="D145" s="3" t="n">
        <v>55000</v>
      </c>
      <c r="E145" s="4" t="s">
        <v>14</v>
      </c>
      <c r="F145" s="2" t="s">
        <v>26</v>
      </c>
      <c r="G145" s="6"/>
      <c r="H145" s="6"/>
      <c r="I145" s="6"/>
      <c r="J145" s="2" t="s">
        <v>27</v>
      </c>
      <c r="K145" s="2"/>
    </row>
    <row r="146" customFormat="false" ht="15" hidden="false" customHeight="false" outlineLevel="0" collapsed="false">
      <c r="A146" s="2" t="s">
        <v>202</v>
      </c>
      <c r="B146" s="2" t="s">
        <v>177</v>
      </c>
      <c r="C146" s="2" t="s">
        <v>202</v>
      </c>
      <c r="D146" s="3" t="n">
        <v>53000</v>
      </c>
      <c r="E146" s="4" t="s">
        <v>14</v>
      </c>
      <c r="F146" s="2" t="s">
        <v>26</v>
      </c>
      <c r="G146" s="6"/>
      <c r="H146" s="6"/>
      <c r="I146" s="6"/>
      <c r="J146" s="2" t="s">
        <v>27</v>
      </c>
      <c r="K146" s="2"/>
    </row>
    <row r="147" customFormat="false" ht="15" hidden="false" customHeight="false" outlineLevel="0" collapsed="false">
      <c r="A147" s="2" t="s">
        <v>203</v>
      </c>
      <c r="B147" s="2" t="s">
        <v>177</v>
      </c>
      <c r="C147" s="2" t="s">
        <v>183</v>
      </c>
      <c r="D147" s="3" t="n">
        <v>49000</v>
      </c>
      <c r="E147" s="4" t="s">
        <v>14</v>
      </c>
      <c r="F147" s="2" t="s">
        <v>26</v>
      </c>
      <c r="G147" s="6"/>
      <c r="H147" s="6"/>
      <c r="I147" s="6"/>
      <c r="J147" s="2" t="s">
        <v>27</v>
      </c>
      <c r="K147" s="2"/>
    </row>
    <row r="148" customFormat="false" ht="15" hidden="false" customHeight="false" outlineLevel="0" collapsed="false">
      <c r="A148" s="2" t="s">
        <v>204</v>
      </c>
      <c r="B148" s="2" t="s">
        <v>177</v>
      </c>
      <c r="C148" s="2" t="s">
        <v>152</v>
      </c>
      <c r="D148" s="3" t="n">
        <v>49000</v>
      </c>
      <c r="E148" s="4" t="s">
        <v>14</v>
      </c>
      <c r="F148" s="2" t="s">
        <v>26</v>
      </c>
      <c r="G148" s="6"/>
      <c r="H148" s="6"/>
      <c r="I148" s="6"/>
      <c r="J148" s="2" t="s">
        <v>27</v>
      </c>
      <c r="K148" s="2"/>
    </row>
    <row r="149" customFormat="false" ht="15" hidden="false" customHeight="false" outlineLevel="0" collapsed="false">
      <c r="A149" s="2" t="s">
        <v>205</v>
      </c>
      <c r="B149" s="2" t="s">
        <v>177</v>
      </c>
      <c r="C149" s="2" t="s">
        <v>206</v>
      </c>
      <c r="D149" s="3" t="n">
        <v>49000</v>
      </c>
      <c r="E149" s="4" t="s">
        <v>14</v>
      </c>
      <c r="F149" s="2" t="s">
        <v>26</v>
      </c>
      <c r="G149" s="6"/>
      <c r="H149" s="6"/>
      <c r="I149" s="6"/>
      <c r="J149" s="2" t="s">
        <v>27</v>
      </c>
      <c r="K149" s="2"/>
    </row>
    <row r="150" customFormat="false" ht="15" hidden="false" customHeight="false" outlineLevel="0" collapsed="false">
      <c r="A150" s="2" t="s">
        <v>207</v>
      </c>
      <c r="B150" s="2" t="s">
        <v>177</v>
      </c>
      <c r="C150" s="2" t="s">
        <v>208</v>
      </c>
      <c r="D150" s="3" t="n">
        <v>47000</v>
      </c>
      <c r="E150" s="4" t="s">
        <v>14</v>
      </c>
      <c r="F150" s="2" t="s">
        <v>26</v>
      </c>
      <c r="G150" s="6"/>
      <c r="H150" s="6"/>
      <c r="I150" s="6"/>
      <c r="J150" s="2" t="s">
        <v>27</v>
      </c>
      <c r="K150" s="2"/>
    </row>
    <row r="151" customFormat="false" ht="15" hidden="false" customHeight="false" outlineLevel="0" collapsed="false">
      <c r="A151" s="2" t="s">
        <v>209</v>
      </c>
      <c r="B151" s="2" t="s">
        <v>177</v>
      </c>
      <c r="C151" s="2" t="s">
        <v>185</v>
      </c>
      <c r="D151" s="3" t="n">
        <v>46000</v>
      </c>
      <c r="E151" s="4" t="s">
        <v>14</v>
      </c>
      <c r="F151" s="2" t="s">
        <v>26</v>
      </c>
      <c r="G151" s="6"/>
      <c r="H151" s="6"/>
      <c r="I151" s="6"/>
      <c r="J151" s="2" t="s">
        <v>27</v>
      </c>
      <c r="K151" s="2"/>
    </row>
    <row r="152" customFormat="false" ht="15" hidden="false" customHeight="false" outlineLevel="0" collapsed="false">
      <c r="A152" s="2" t="s">
        <v>210</v>
      </c>
      <c r="B152" s="2" t="s">
        <v>177</v>
      </c>
      <c r="C152" s="2" t="s">
        <v>192</v>
      </c>
      <c r="D152" s="3" t="n">
        <v>44000</v>
      </c>
      <c r="E152" s="4" t="s">
        <v>14</v>
      </c>
      <c r="F152" s="2" t="s">
        <v>26</v>
      </c>
      <c r="G152" s="6"/>
      <c r="H152" s="6"/>
      <c r="I152" s="6"/>
      <c r="J152" s="2" t="s">
        <v>27</v>
      </c>
      <c r="K152" s="2"/>
    </row>
    <row r="153" customFormat="false" ht="15" hidden="false" customHeight="false" outlineLevel="0" collapsed="false">
      <c r="A153" s="2" t="s">
        <v>211</v>
      </c>
      <c r="B153" s="2" t="s">
        <v>177</v>
      </c>
      <c r="C153" s="2" t="s">
        <v>212</v>
      </c>
      <c r="D153" s="3" t="n">
        <v>37000</v>
      </c>
      <c r="E153" s="4" t="s">
        <v>14</v>
      </c>
      <c r="F153" s="2" t="s">
        <v>26</v>
      </c>
      <c r="G153" s="6"/>
      <c r="H153" s="6"/>
      <c r="I153" s="6"/>
      <c r="J153" s="2" t="s">
        <v>27</v>
      </c>
      <c r="K153" s="2"/>
    </row>
    <row r="154" customFormat="false" ht="15" hidden="false" customHeight="false" outlineLevel="0" collapsed="false">
      <c r="A154" s="2" t="s">
        <v>213</v>
      </c>
      <c r="B154" s="2" t="s">
        <v>177</v>
      </c>
      <c r="C154" s="2" t="s">
        <v>214</v>
      </c>
      <c r="D154" s="3" t="n">
        <v>37000</v>
      </c>
      <c r="E154" s="4" t="s">
        <v>14</v>
      </c>
      <c r="F154" s="2" t="s">
        <v>26</v>
      </c>
      <c r="G154" s="6"/>
      <c r="H154" s="6"/>
      <c r="I154" s="6"/>
      <c r="J154" s="2" t="s">
        <v>27</v>
      </c>
      <c r="K154" s="2"/>
    </row>
    <row r="155" customFormat="false" ht="15" hidden="false" customHeight="false" outlineLevel="0" collapsed="false">
      <c r="A155" s="2" t="s">
        <v>215</v>
      </c>
      <c r="B155" s="2" t="s">
        <v>177</v>
      </c>
      <c r="C155" s="2" t="s">
        <v>35</v>
      </c>
      <c r="D155" s="3" t="n">
        <v>35000</v>
      </c>
      <c r="E155" s="4" t="s">
        <v>14</v>
      </c>
      <c r="F155" s="2" t="s">
        <v>26</v>
      </c>
      <c r="G155" s="6"/>
      <c r="H155" s="6"/>
      <c r="I155" s="6"/>
      <c r="J155" s="2" t="s">
        <v>27</v>
      </c>
      <c r="K155" s="2"/>
    </row>
    <row r="156" customFormat="false" ht="15" hidden="false" customHeight="false" outlineLevel="0" collapsed="false">
      <c r="A156" s="2" t="s">
        <v>216</v>
      </c>
      <c r="B156" s="2" t="s">
        <v>177</v>
      </c>
      <c r="C156" s="2" t="s">
        <v>217</v>
      </c>
      <c r="D156" s="3" t="n">
        <v>35000</v>
      </c>
      <c r="E156" s="4" t="s">
        <v>14</v>
      </c>
      <c r="F156" s="2" t="s">
        <v>26</v>
      </c>
      <c r="G156" s="6"/>
      <c r="H156" s="6"/>
      <c r="I156" s="6"/>
      <c r="J156" s="2" t="s">
        <v>27</v>
      </c>
      <c r="K156" s="2"/>
    </row>
    <row r="157" customFormat="false" ht="15" hidden="false" customHeight="false" outlineLevel="0" collapsed="false">
      <c r="A157" s="2" t="s">
        <v>218</v>
      </c>
      <c r="B157" s="2" t="s">
        <v>177</v>
      </c>
      <c r="C157" s="2" t="s">
        <v>212</v>
      </c>
      <c r="D157" s="3" t="n">
        <v>34000</v>
      </c>
      <c r="E157" s="4" t="s">
        <v>14</v>
      </c>
      <c r="F157" s="2" t="s">
        <v>26</v>
      </c>
      <c r="G157" s="6"/>
      <c r="H157" s="6"/>
      <c r="I157" s="6"/>
      <c r="J157" s="2" t="s">
        <v>27</v>
      </c>
      <c r="K157" s="2"/>
    </row>
    <row r="158" customFormat="false" ht="15" hidden="false" customHeight="false" outlineLevel="0" collapsed="false">
      <c r="A158" s="2" t="s">
        <v>219</v>
      </c>
      <c r="B158" s="2" t="s">
        <v>177</v>
      </c>
      <c r="C158" s="2" t="s">
        <v>202</v>
      </c>
      <c r="D158" s="3" t="n">
        <v>34000</v>
      </c>
      <c r="E158" s="4" t="s">
        <v>14</v>
      </c>
      <c r="F158" s="2" t="s">
        <v>26</v>
      </c>
      <c r="G158" s="6"/>
      <c r="H158" s="6"/>
      <c r="I158" s="6"/>
      <c r="J158" s="2" t="s">
        <v>27</v>
      </c>
      <c r="K158" s="2"/>
    </row>
    <row r="159" customFormat="false" ht="15" hidden="false" customHeight="false" outlineLevel="0" collapsed="false">
      <c r="A159" s="2" t="s">
        <v>69</v>
      </c>
      <c r="B159" s="2" t="s">
        <v>177</v>
      </c>
      <c r="C159" s="2" t="s">
        <v>220</v>
      </c>
      <c r="D159" s="3" t="n">
        <v>34000</v>
      </c>
      <c r="E159" s="4" t="s">
        <v>14</v>
      </c>
      <c r="F159" s="2" t="s">
        <v>26</v>
      </c>
      <c r="G159" s="6"/>
      <c r="H159" s="6"/>
      <c r="I159" s="6"/>
      <c r="J159" s="2" t="s">
        <v>27</v>
      </c>
      <c r="K159" s="2"/>
    </row>
    <row r="160" customFormat="false" ht="15" hidden="false" customHeight="false" outlineLevel="0" collapsed="false">
      <c r="A160" s="2" t="s">
        <v>221</v>
      </c>
      <c r="B160" s="2" t="s">
        <v>177</v>
      </c>
      <c r="C160" s="2" t="s">
        <v>222</v>
      </c>
      <c r="D160" s="3" t="n">
        <v>31000</v>
      </c>
      <c r="E160" s="4" t="s">
        <v>14</v>
      </c>
      <c r="F160" s="2" t="s">
        <v>26</v>
      </c>
      <c r="G160" s="6"/>
      <c r="H160" s="6"/>
      <c r="I160" s="6"/>
      <c r="J160" s="2" t="s">
        <v>27</v>
      </c>
      <c r="K160" s="2"/>
    </row>
    <row r="161" customFormat="false" ht="15" hidden="false" customHeight="false" outlineLevel="0" collapsed="false">
      <c r="A161" s="2" t="s">
        <v>223</v>
      </c>
      <c r="B161" s="2" t="s">
        <v>177</v>
      </c>
      <c r="C161" s="2" t="s">
        <v>35</v>
      </c>
      <c r="D161" s="3" t="n">
        <v>30000</v>
      </c>
      <c r="E161" s="4" t="s">
        <v>14</v>
      </c>
      <c r="F161" s="2" t="s">
        <v>26</v>
      </c>
      <c r="G161" s="6"/>
      <c r="H161" s="6"/>
      <c r="I161" s="6"/>
      <c r="J161" s="2" t="s">
        <v>27</v>
      </c>
      <c r="K161" s="2"/>
    </row>
    <row r="162" customFormat="false" ht="15" hidden="false" customHeight="false" outlineLevel="0" collapsed="false">
      <c r="A162" s="2" t="s">
        <v>224</v>
      </c>
      <c r="B162" s="2" t="s">
        <v>177</v>
      </c>
      <c r="C162" s="2" t="s">
        <v>183</v>
      </c>
      <c r="D162" s="3" t="n">
        <v>30000</v>
      </c>
      <c r="E162" s="4" t="s">
        <v>14</v>
      </c>
      <c r="F162" s="2" t="s">
        <v>26</v>
      </c>
      <c r="G162" s="6"/>
      <c r="H162" s="6"/>
      <c r="I162" s="6"/>
      <c r="J162" s="2" t="s">
        <v>27</v>
      </c>
      <c r="K162" s="2"/>
    </row>
    <row r="163" customFormat="false" ht="15" hidden="false" customHeight="false" outlineLevel="0" collapsed="false">
      <c r="A163" s="2" t="s">
        <v>225</v>
      </c>
      <c r="B163" s="2" t="s">
        <v>177</v>
      </c>
      <c r="C163" s="2" t="s">
        <v>35</v>
      </c>
      <c r="D163" s="3" t="n">
        <v>29000</v>
      </c>
      <c r="E163" s="4" t="s">
        <v>14</v>
      </c>
      <c r="F163" s="2" t="s">
        <v>26</v>
      </c>
      <c r="G163" s="6"/>
      <c r="H163" s="6"/>
      <c r="I163" s="6"/>
      <c r="J163" s="2" t="s">
        <v>27</v>
      </c>
      <c r="K163" s="2"/>
    </row>
    <row r="164" customFormat="false" ht="15" hidden="false" customHeight="false" outlineLevel="0" collapsed="false">
      <c r="A164" s="2" t="s">
        <v>226</v>
      </c>
      <c r="B164" s="2" t="s">
        <v>177</v>
      </c>
      <c r="C164" s="2" t="s">
        <v>35</v>
      </c>
      <c r="D164" s="3" t="n">
        <v>28000</v>
      </c>
      <c r="E164" s="4" t="s">
        <v>14</v>
      </c>
      <c r="F164" s="2" t="s">
        <v>26</v>
      </c>
      <c r="G164" s="6"/>
      <c r="H164" s="6"/>
      <c r="I164" s="6"/>
      <c r="J164" s="2" t="s">
        <v>27</v>
      </c>
      <c r="K164" s="2"/>
    </row>
    <row r="165" customFormat="false" ht="15" hidden="false" customHeight="false" outlineLevel="0" collapsed="false">
      <c r="A165" s="2" t="s">
        <v>227</v>
      </c>
      <c r="B165" s="2" t="s">
        <v>177</v>
      </c>
      <c r="C165" s="2" t="s">
        <v>220</v>
      </c>
      <c r="D165" s="3" t="n">
        <v>28000</v>
      </c>
      <c r="E165" s="4" t="s">
        <v>14</v>
      </c>
      <c r="F165" s="2" t="s">
        <v>26</v>
      </c>
      <c r="G165" s="6"/>
      <c r="H165" s="6"/>
      <c r="I165" s="6"/>
      <c r="J165" s="2" t="s">
        <v>27</v>
      </c>
      <c r="K165" s="2"/>
    </row>
    <row r="166" customFormat="false" ht="15" hidden="false" customHeight="false" outlineLevel="0" collapsed="false">
      <c r="A166" s="2" t="s">
        <v>228</v>
      </c>
      <c r="B166" s="2" t="s">
        <v>177</v>
      </c>
      <c r="C166" s="2" t="s">
        <v>229</v>
      </c>
      <c r="D166" s="3" t="n">
        <v>28000</v>
      </c>
      <c r="E166" s="4" t="s">
        <v>14</v>
      </c>
      <c r="F166" s="2" t="s">
        <v>26</v>
      </c>
      <c r="G166" s="6"/>
      <c r="H166" s="6"/>
      <c r="I166" s="6"/>
      <c r="J166" s="2" t="s">
        <v>27</v>
      </c>
      <c r="K166" s="2"/>
    </row>
    <row r="167" customFormat="false" ht="15" hidden="false" customHeight="false" outlineLevel="0" collapsed="false">
      <c r="A167" s="2" t="s">
        <v>152</v>
      </c>
      <c r="B167" s="2" t="s">
        <v>177</v>
      </c>
      <c r="C167" s="2" t="s">
        <v>230</v>
      </c>
      <c r="D167" s="3" t="n">
        <v>28000</v>
      </c>
      <c r="E167" s="4" t="s">
        <v>14</v>
      </c>
      <c r="F167" s="2" t="s">
        <v>26</v>
      </c>
      <c r="G167" s="6"/>
      <c r="H167" s="6"/>
      <c r="I167" s="6"/>
      <c r="J167" s="2" t="s">
        <v>27</v>
      </c>
      <c r="K167" s="2"/>
    </row>
    <row r="168" customFormat="false" ht="15" hidden="false" customHeight="false" outlineLevel="0" collapsed="false">
      <c r="A168" s="2" t="s">
        <v>231</v>
      </c>
      <c r="B168" s="2" t="s">
        <v>177</v>
      </c>
      <c r="C168" s="2" t="s">
        <v>196</v>
      </c>
      <c r="D168" s="3" t="n">
        <v>25000</v>
      </c>
      <c r="E168" s="4" t="s">
        <v>14</v>
      </c>
      <c r="F168" s="2" t="s">
        <v>26</v>
      </c>
      <c r="G168" s="6"/>
      <c r="H168" s="6"/>
      <c r="I168" s="6"/>
      <c r="J168" s="2" t="s">
        <v>27</v>
      </c>
      <c r="K168" s="2"/>
    </row>
    <row r="169" customFormat="false" ht="15" hidden="false" customHeight="false" outlineLevel="0" collapsed="false">
      <c r="A169" s="2" t="s">
        <v>232</v>
      </c>
      <c r="B169" s="2" t="s">
        <v>177</v>
      </c>
      <c r="C169" s="2" t="s">
        <v>35</v>
      </c>
      <c r="D169" s="3" t="n">
        <v>23000</v>
      </c>
      <c r="E169" s="4" t="s">
        <v>14</v>
      </c>
      <c r="F169" s="2" t="s">
        <v>26</v>
      </c>
      <c r="G169" s="6"/>
      <c r="H169" s="6"/>
      <c r="I169" s="6"/>
      <c r="J169" s="2" t="s">
        <v>27</v>
      </c>
      <c r="K169" s="2"/>
    </row>
    <row r="170" customFormat="false" ht="15" hidden="false" customHeight="false" outlineLevel="0" collapsed="false">
      <c r="A170" s="2" t="s">
        <v>233</v>
      </c>
      <c r="B170" s="2" t="s">
        <v>177</v>
      </c>
      <c r="C170" s="2" t="s">
        <v>35</v>
      </c>
      <c r="D170" s="3" t="n">
        <v>23000</v>
      </c>
      <c r="E170" s="4" t="s">
        <v>14</v>
      </c>
      <c r="F170" s="2" t="s">
        <v>26</v>
      </c>
      <c r="G170" s="6"/>
      <c r="H170" s="6"/>
      <c r="I170" s="6"/>
      <c r="J170" s="2" t="s">
        <v>27</v>
      </c>
      <c r="K170" s="2"/>
    </row>
    <row r="171" customFormat="false" ht="15" hidden="false" customHeight="false" outlineLevel="0" collapsed="false">
      <c r="A171" s="2" t="s">
        <v>234</v>
      </c>
      <c r="B171" s="2" t="s">
        <v>177</v>
      </c>
      <c r="C171" s="2" t="s">
        <v>206</v>
      </c>
      <c r="D171" s="3" t="n">
        <v>22000</v>
      </c>
      <c r="E171" s="4" t="s">
        <v>14</v>
      </c>
      <c r="F171" s="2" t="s">
        <v>26</v>
      </c>
      <c r="G171" s="6"/>
      <c r="H171" s="6"/>
      <c r="I171" s="6"/>
      <c r="J171" s="2" t="s">
        <v>27</v>
      </c>
      <c r="K171" s="2"/>
    </row>
    <row r="172" customFormat="false" ht="15" hidden="false" customHeight="false" outlineLevel="0" collapsed="false">
      <c r="A172" s="2" t="s">
        <v>235</v>
      </c>
      <c r="B172" s="2" t="s">
        <v>177</v>
      </c>
      <c r="C172" s="2" t="s">
        <v>222</v>
      </c>
      <c r="D172" s="3" t="n">
        <v>21000</v>
      </c>
      <c r="E172" s="4" t="s">
        <v>14</v>
      </c>
      <c r="F172" s="2" t="s">
        <v>26</v>
      </c>
      <c r="G172" s="6"/>
      <c r="H172" s="6"/>
      <c r="I172" s="6"/>
      <c r="J172" s="2" t="s">
        <v>27</v>
      </c>
      <c r="K172" s="2"/>
    </row>
    <row r="173" customFormat="false" ht="15" hidden="false" customHeight="false" outlineLevel="0" collapsed="false">
      <c r="A173" s="2" t="s">
        <v>236</v>
      </c>
      <c r="B173" s="2" t="s">
        <v>177</v>
      </c>
      <c r="C173" s="2" t="s">
        <v>35</v>
      </c>
      <c r="D173" s="3" t="n">
        <v>19000</v>
      </c>
      <c r="E173" s="4" t="s">
        <v>14</v>
      </c>
      <c r="F173" s="2" t="s">
        <v>26</v>
      </c>
      <c r="G173" s="6"/>
      <c r="H173" s="6"/>
      <c r="I173" s="6"/>
      <c r="J173" s="2" t="s">
        <v>27</v>
      </c>
      <c r="K173" s="2"/>
    </row>
    <row r="174" customFormat="false" ht="15" hidden="false" customHeight="false" outlineLevel="0" collapsed="false">
      <c r="A174" s="2" t="s">
        <v>237</v>
      </c>
      <c r="B174" s="2" t="s">
        <v>177</v>
      </c>
      <c r="C174" s="2" t="s">
        <v>238</v>
      </c>
      <c r="D174" s="3" t="n">
        <v>19000</v>
      </c>
      <c r="E174" s="4" t="s">
        <v>14</v>
      </c>
      <c r="F174" s="2" t="s">
        <v>26</v>
      </c>
      <c r="G174" s="6"/>
      <c r="H174" s="6"/>
      <c r="I174" s="6"/>
      <c r="J174" s="2" t="s">
        <v>27</v>
      </c>
      <c r="K174" s="2"/>
    </row>
    <row r="175" customFormat="false" ht="15" hidden="false" customHeight="false" outlineLevel="0" collapsed="false">
      <c r="A175" s="2" t="s">
        <v>239</v>
      </c>
      <c r="B175" s="2" t="s">
        <v>177</v>
      </c>
      <c r="C175" s="2" t="s">
        <v>220</v>
      </c>
      <c r="D175" s="3" t="n">
        <v>18000</v>
      </c>
      <c r="E175" s="4" t="s">
        <v>14</v>
      </c>
      <c r="F175" s="2" t="s">
        <v>26</v>
      </c>
      <c r="G175" s="6"/>
      <c r="H175" s="6"/>
      <c r="I175" s="6"/>
      <c r="J175" s="2" t="s">
        <v>27</v>
      </c>
      <c r="K175" s="2"/>
    </row>
    <row r="176" customFormat="false" ht="15" hidden="false" customHeight="false" outlineLevel="0" collapsed="false">
      <c r="A176" s="2" t="s">
        <v>240</v>
      </c>
      <c r="B176" s="2" t="s">
        <v>177</v>
      </c>
      <c r="C176" s="2" t="s">
        <v>241</v>
      </c>
      <c r="D176" s="3" t="n">
        <v>18000</v>
      </c>
      <c r="E176" s="4" t="s">
        <v>14</v>
      </c>
      <c r="F176" s="2" t="s">
        <v>26</v>
      </c>
      <c r="G176" s="6"/>
      <c r="H176" s="6"/>
      <c r="I176" s="6"/>
      <c r="J176" s="2" t="s">
        <v>27</v>
      </c>
      <c r="K176" s="2"/>
    </row>
    <row r="177" customFormat="false" ht="15" hidden="false" customHeight="false" outlineLevel="0" collapsed="false">
      <c r="A177" s="2" t="s">
        <v>242</v>
      </c>
      <c r="B177" s="2" t="s">
        <v>177</v>
      </c>
      <c r="C177" s="2" t="s">
        <v>35</v>
      </c>
      <c r="D177" s="3" t="n">
        <v>16000</v>
      </c>
      <c r="E177" s="4" t="s">
        <v>14</v>
      </c>
      <c r="F177" s="2" t="s">
        <v>26</v>
      </c>
      <c r="G177" s="6"/>
      <c r="H177" s="6"/>
      <c r="I177" s="6"/>
      <c r="J177" s="2" t="s">
        <v>27</v>
      </c>
      <c r="K177" s="2"/>
    </row>
    <row r="178" customFormat="false" ht="15" hidden="false" customHeight="false" outlineLevel="0" collapsed="false">
      <c r="A178" s="2" t="s">
        <v>243</v>
      </c>
      <c r="B178" s="2" t="s">
        <v>177</v>
      </c>
      <c r="C178" s="2" t="s">
        <v>229</v>
      </c>
      <c r="D178" s="3" t="n">
        <v>16000</v>
      </c>
      <c r="E178" s="4" t="s">
        <v>14</v>
      </c>
      <c r="F178" s="2" t="s">
        <v>26</v>
      </c>
      <c r="G178" s="6"/>
      <c r="H178" s="6"/>
      <c r="I178" s="6"/>
      <c r="J178" s="2" t="s">
        <v>27</v>
      </c>
      <c r="K178" s="2"/>
    </row>
    <row r="179" customFormat="false" ht="15" hidden="false" customHeight="false" outlineLevel="0" collapsed="false">
      <c r="A179" s="2" t="s">
        <v>244</v>
      </c>
      <c r="B179" s="2" t="s">
        <v>177</v>
      </c>
      <c r="C179" s="2" t="s">
        <v>245</v>
      </c>
      <c r="D179" s="3" t="n">
        <v>15000</v>
      </c>
      <c r="E179" s="4" t="s">
        <v>14</v>
      </c>
      <c r="F179" s="2" t="s">
        <v>26</v>
      </c>
      <c r="G179" s="6"/>
      <c r="H179" s="6"/>
      <c r="I179" s="6"/>
      <c r="J179" s="2" t="s">
        <v>27</v>
      </c>
      <c r="K179" s="2"/>
    </row>
    <row r="180" customFormat="false" ht="15" hidden="false" customHeight="false" outlineLevel="0" collapsed="false">
      <c r="A180" s="2" t="s">
        <v>246</v>
      </c>
      <c r="B180" s="2" t="s">
        <v>177</v>
      </c>
      <c r="C180" s="2" t="s">
        <v>35</v>
      </c>
      <c r="D180" s="3" t="n">
        <v>14000</v>
      </c>
      <c r="E180" s="4" t="s">
        <v>14</v>
      </c>
      <c r="F180" s="2" t="s">
        <v>26</v>
      </c>
      <c r="G180" s="6"/>
      <c r="H180" s="6"/>
      <c r="I180" s="6"/>
      <c r="J180" s="2" t="s">
        <v>27</v>
      </c>
      <c r="K180" s="2"/>
    </row>
    <row r="181" customFormat="false" ht="15" hidden="false" customHeight="false" outlineLevel="0" collapsed="false">
      <c r="A181" s="2" t="s">
        <v>247</v>
      </c>
      <c r="B181" s="2" t="s">
        <v>177</v>
      </c>
      <c r="C181" s="2" t="s">
        <v>212</v>
      </c>
      <c r="D181" s="3" t="n">
        <v>14000</v>
      </c>
      <c r="E181" s="4" t="s">
        <v>14</v>
      </c>
      <c r="F181" s="2" t="s">
        <v>26</v>
      </c>
      <c r="G181" s="6"/>
      <c r="H181" s="6"/>
      <c r="I181" s="6"/>
      <c r="J181" s="2" t="s">
        <v>27</v>
      </c>
      <c r="K181" s="2"/>
    </row>
    <row r="182" customFormat="false" ht="15" hidden="false" customHeight="false" outlineLevel="0" collapsed="false">
      <c r="A182" s="2" t="s">
        <v>248</v>
      </c>
      <c r="B182" s="2" t="s">
        <v>249</v>
      </c>
      <c r="C182" s="2" t="s">
        <v>248</v>
      </c>
      <c r="D182" s="3" t="n">
        <v>577000</v>
      </c>
      <c r="E182" s="4" t="s">
        <v>14</v>
      </c>
      <c r="F182" s="5" t="s">
        <v>15</v>
      </c>
      <c r="G182" s="6"/>
      <c r="H182" s="6"/>
      <c r="I182" s="6"/>
      <c r="J182" s="2" t="s">
        <v>16</v>
      </c>
      <c r="K182" s="2" t="s">
        <v>17</v>
      </c>
    </row>
    <row r="183" customFormat="false" ht="15" hidden="false" customHeight="false" outlineLevel="0" collapsed="false">
      <c r="A183" s="2" t="s">
        <v>112</v>
      </c>
      <c r="B183" s="2" t="s">
        <v>249</v>
      </c>
      <c r="C183" s="2" t="s">
        <v>250</v>
      </c>
      <c r="D183" s="3" t="n">
        <v>269000</v>
      </c>
      <c r="E183" s="4" t="s">
        <v>14</v>
      </c>
      <c r="F183" s="5" t="s">
        <v>15</v>
      </c>
      <c r="G183" s="6"/>
      <c r="H183" s="6"/>
      <c r="I183" s="6"/>
      <c r="J183" s="2" t="s">
        <v>16</v>
      </c>
      <c r="K183" s="2" t="s">
        <v>17</v>
      </c>
    </row>
    <row r="184" customFormat="false" ht="15" hidden="false" customHeight="false" outlineLevel="0" collapsed="false">
      <c r="A184" s="2" t="s">
        <v>251</v>
      </c>
      <c r="B184" s="2" t="s">
        <v>249</v>
      </c>
      <c r="C184" s="2" t="s">
        <v>252</v>
      </c>
      <c r="D184" s="3" t="n">
        <v>104000</v>
      </c>
      <c r="E184" s="4" t="s">
        <v>14</v>
      </c>
      <c r="F184" s="5" t="s">
        <v>15</v>
      </c>
      <c r="G184" s="6"/>
      <c r="H184" s="6"/>
      <c r="I184" s="6"/>
      <c r="J184" s="2" t="s">
        <v>16</v>
      </c>
      <c r="K184" s="2" t="s">
        <v>17</v>
      </c>
    </row>
    <row r="185" customFormat="false" ht="15" hidden="false" customHeight="false" outlineLevel="0" collapsed="false">
      <c r="A185" s="2" t="s">
        <v>253</v>
      </c>
      <c r="B185" s="2" t="s">
        <v>249</v>
      </c>
      <c r="C185" s="2" t="s">
        <v>253</v>
      </c>
      <c r="D185" s="3" t="n">
        <v>99000</v>
      </c>
      <c r="E185" s="4" t="s">
        <v>14</v>
      </c>
      <c r="F185" s="2" t="s">
        <v>26</v>
      </c>
      <c r="G185" s="6"/>
      <c r="H185" s="6"/>
      <c r="I185" s="6"/>
      <c r="J185" s="2" t="s">
        <v>27</v>
      </c>
      <c r="K185" s="2"/>
    </row>
    <row r="186" customFormat="false" ht="15" hidden="false" customHeight="false" outlineLevel="0" collapsed="false">
      <c r="A186" s="2" t="s">
        <v>254</v>
      </c>
      <c r="B186" s="2" t="s">
        <v>249</v>
      </c>
      <c r="C186" s="2" t="s">
        <v>254</v>
      </c>
      <c r="D186" s="3" t="n">
        <v>77000</v>
      </c>
      <c r="E186" s="4" t="s">
        <v>14</v>
      </c>
      <c r="F186" s="2" t="s">
        <v>26</v>
      </c>
      <c r="G186" s="6"/>
      <c r="H186" s="6"/>
      <c r="I186" s="6"/>
      <c r="J186" s="2" t="s">
        <v>27</v>
      </c>
      <c r="K186" s="2"/>
    </row>
    <row r="187" customFormat="false" ht="15" hidden="false" customHeight="false" outlineLevel="0" collapsed="false">
      <c r="A187" s="2" t="s">
        <v>255</v>
      </c>
      <c r="B187" s="2" t="s">
        <v>249</v>
      </c>
      <c r="C187" s="2" t="s">
        <v>256</v>
      </c>
      <c r="D187" s="3" t="n">
        <v>75000</v>
      </c>
      <c r="E187" s="4" t="s">
        <v>14</v>
      </c>
      <c r="F187" s="2" t="s">
        <v>26</v>
      </c>
      <c r="G187" s="6"/>
      <c r="H187" s="6"/>
      <c r="I187" s="6"/>
      <c r="J187" s="2" t="s">
        <v>27</v>
      </c>
      <c r="K187" s="2"/>
    </row>
    <row r="188" customFormat="false" ht="15" hidden="false" customHeight="false" outlineLevel="0" collapsed="false">
      <c r="A188" s="2" t="s">
        <v>257</v>
      </c>
      <c r="B188" s="2" t="s">
        <v>249</v>
      </c>
      <c r="C188" s="2" t="s">
        <v>257</v>
      </c>
      <c r="D188" s="3" t="n">
        <v>72000</v>
      </c>
      <c r="E188" s="4" t="s">
        <v>14</v>
      </c>
      <c r="F188" s="5" t="s">
        <v>15</v>
      </c>
      <c r="G188" s="6"/>
      <c r="H188" s="6"/>
      <c r="I188" s="6"/>
      <c r="J188" s="2" t="s">
        <v>16</v>
      </c>
      <c r="K188" s="2" t="s">
        <v>17</v>
      </c>
    </row>
    <row r="189" customFormat="false" ht="15" hidden="false" customHeight="false" outlineLevel="0" collapsed="false">
      <c r="A189" s="2" t="s">
        <v>258</v>
      </c>
      <c r="B189" s="2" t="s">
        <v>249</v>
      </c>
      <c r="C189" s="2" t="s">
        <v>258</v>
      </c>
      <c r="D189" s="3" t="n">
        <v>69000</v>
      </c>
      <c r="E189" s="4" t="s">
        <v>14</v>
      </c>
      <c r="F189" s="2" t="s">
        <v>26</v>
      </c>
      <c r="G189" s="6"/>
      <c r="H189" s="6"/>
      <c r="I189" s="6"/>
      <c r="J189" s="2" t="s">
        <v>27</v>
      </c>
      <c r="K189" s="2"/>
    </row>
    <row r="190" customFormat="false" ht="15" hidden="false" customHeight="false" outlineLevel="0" collapsed="false">
      <c r="A190" s="2" t="s">
        <v>259</v>
      </c>
      <c r="B190" s="2" t="s">
        <v>249</v>
      </c>
      <c r="C190" s="2" t="s">
        <v>25</v>
      </c>
      <c r="D190" s="3" t="n">
        <v>66000</v>
      </c>
      <c r="E190" s="4" t="s">
        <v>14</v>
      </c>
      <c r="F190" s="2" t="s">
        <v>26</v>
      </c>
      <c r="G190" s="6"/>
      <c r="H190" s="6"/>
      <c r="I190" s="6"/>
      <c r="J190" s="2" t="s">
        <v>27</v>
      </c>
      <c r="K190" s="2"/>
    </row>
    <row r="191" customFormat="false" ht="15" hidden="false" customHeight="false" outlineLevel="0" collapsed="false">
      <c r="A191" s="2" t="s">
        <v>260</v>
      </c>
      <c r="B191" s="2" t="s">
        <v>249</v>
      </c>
      <c r="C191" s="2" t="s">
        <v>261</v>
      </c>
      <c r="D191" s="3" t="n">
        <v>65000</v>
      </c>
      <c r="E191" s="4" t="s">
        <v>14</v>
      </c>
      <c r="F191" s="2" t="s">
        <v>26</v>
      </c>
      <c r="G191" s="6"/>
      <c r="H191" s="6"/>
      <c r="I191" s="6"/>
      <c r="J191" s="2" t="s">
        <v>27</v>
      </c>
      <c r="K191" s="2"/>
    </row>
    <row r="192" customFormat="false" ht="15" hidden="false" customHeight="false" outlineLevel="0" collapsed="false">
      <c r="A192" s="2" t="s">
        <v>262</v>
      </c>
      <c r="B192" s="2" t="s">
        <v>249</v>
      </c>
      <c r="C192" s="2" t="s">
        <v>248</v>
      </c>
      <c r="D192" s="3" t="n">
        <v>60000</v>
      </c>
      <c r="E192" s="4" t="s">
        <v>14</v>
      </c>
      <c r="F192" s="2" t="s">
        <v>26</v>
      </c>
      <c r="G192" s="6"/>
      <c r="H192" s="6"/>
      <c r="I192" s="6"/>
      <c r="J192" s="2" t="s">
        <v>27</v>
      </c>
      <c r="K192" s="2"/>
    </row>
    <row r="193" customFormat="false" ht="15" hidden="false" customHeight="false" outlineLevel="0" collapsed="false">
      <c r="A193" s="2" t="s">
        <v>263</v>
      </c>
      <c r="B193" s="2" t="s">
        <v>249</v>
      </c>
      <c r="C193" s="2" t="s">
        <v>263</v>
      </c>
      <c r="D193" s="3" t="n">
        <v>52000</v>
      </c>
      <c r="E193" s="4" t="s">
        <v>14</v>
      </c>
      <c r="F193" s="2" t="s">
        <v>26</v>
      </c>
      <c r="G193" s="6"/>
      <c r="H193" s="6"/>
      <c r="I193" s="6"/>
      <c r="J193" s="2" t="s">
        <v>27</v>
      </c>
      <c r="K193" s="2"/>
    </row>
    <row r="194" customFormat="false" ht="15" hidden="false" customHeight="false" outlineLevel="0" collapsed="false">
      <c r="A194" s="2" t="s">
        <v>264</v>
      </c>
      <c r="B194" s="2" t="s">
        <v>249</v>
      </c>
      <c r="C194" s="2" t="s">
        <v>264</v>
      </c>
      <c r="D194" s="3" t="n">
        <v>49000</v>
      </c>
      <c r="E194" s="4" t="s">
        <v>14</v>
      </c>
      <c r="F194" s="2" t="s">
        <v>26</v>
      </c>
      <c r="G194" s="6"/>
      <c r="H194" s="6"/>
      <c r="I194" s="6"/>
      <c r="J194" s="2" t="s">
        <v>27</v>
      </c>
      <c r="K194" s="2"/>
    </row>
    <row r="195" customFormat="false" ht="15" hidden="false" customHeight="false" outlineLevel="0" collapsed="false">
      <c r="A195" s="2" t="s">
        <v>265</v>
      </c>
      <c r="B195" s="2" t="s">
        <v>249</v>
      </c>
      <c r="C195" s="2" t="s">
        <v>248</v>
      </c>
      <c r="D195" s="3" t="n">
        <v>48000</v>
      </c>
      <c r="E195" s="4" t="s">
        <v>14</v>
      </c>
      <c r="F195" s="5" t="s">
        <v>15</v>
      </c>
      <c r="G195" s="6"/>
      <c r="H195" s="6"/>
      <c r="I195" s="6"/>
      <c r="J195" s="2" t="s">
        <v>16</v>
      </c>
      <c r="K195" s="2" t="s">
        <v>17</v>
      </c>
    </row>
    <row r="196" customFormat="false" ht="15" hidden="false" customHeight="false" outlineLevel="0" collapsed="false">
      <c r="A196" s="2" t="s">
        <v>266</v>
      </c>
      <c r="B196" s="2" t="s">
        <v>249</v>
      </c>
      <c r="C196" s="2" t="s">
        <v>266</v>
      </c>
      <c r="D196" s="3" t="n">
        <v>43000</v>
      </c>
      <c r="E196" s="4" t="s">
        <v>14</v>
      </c>
      <c r="F196" s="2" t="s">
        <v>26</v>
      </c>
      <c r="G196" s="6"/>
      <c r="H196" s="6"/>
      <c r="I196" s="6"/>
      <c r="J196" s="2" t="s">
        <v>27</v>
      </c>
      <c r="K196" s="2"/>
    </row>
    <row r="197" customFormat="false" ht="15" hidden="false" customHeight="false" outlineLevel="0" collapsed="false">
      <c r="A197" s="2" t="s">
        <v>267</v>
      </c>
      <c r="B197" s="2" t="s">
        <v>249</v>
      </c>
      <c r="C197" s="2" t="s">
        <v>257</v>
      </c>
      <c r="D197" s="3" t="n">
        <v>39000</v>
      </c>
      <c r="E197" s="4" t="s">
        <v>14</v>
      </c>
      <c r="F197" s="5" t="s">
        <v>15</v>
      </c>
      <c r="G197" s="6"/>
      <c r="H197" s="6"/>
      <c r="I197" s="6"/>
      <c r="J197" s="2" t="s">
        <v>16</v>
      </c>
      <c r="K197" s="2" t="s">
        <v>17</v>
      </c>
    </row>
    <row r="198" customFormat="false" ht="15" hidden="false" customHeight="false" outlineLevel="0" collapsed="false">
      <c r="A198" s="2" t="s">
        <v>268</v>
      </c>
      <c r="B198" s="2" t="s">
        <v>249</v>
      </c>
      <c r="C198" s="2" t="s">
        <v>269</v>
      </c>
      <c r="D198" s="3" t="n">
        <v>39000</v>
      </c>
      <c r="E198" s="4" t="s">
        <v>14</v>
      </c>
      <c r="F198" s="2" t="s">
        <v>26</v>
      </c>
      <c r="G198" s="6"/>
      <c r="H198" s="6"/>
      <c r="I198" s="6"/>
      <c r="J198" s="2" t="s">
        <v>27</v>
      </c>
      <c r="K198" s="2"/>
    </row>
    <row r="199" customFormat="false" ht="15" hidden="false" customHeight="false" outlineLevel="0" collapsed="false">
      <c r="A199" s="2" t="s">
        <v>270</v>
      </c>
      <c r="B199" s="2" t="s">
        <v>249</v>
      </c>
      <c r="C199" s="2" t="s">
        <v>257</v>
      </c>
      <c r="D199" s="3" t="n">
        <v>38000</v>
      </c>
      <c r="E199" s="4" t="s">
        <v>14</v>
      </c>
      <c r="F199" s="5" t="s">
        <v>15</v>
      </c>
      <c r="G199" s="6"/>
      <c r="H199" s="6"/>
      <c r="I199" s="6"/>
      <c r="J199" s="2" t="s">
        <v>16</v>
      </c>
      <c r="K199" s="2" t="s">
        <v>17</v>
      </c>
    </row>
    <row r="200" customFormat="false" ht="15" hidden="false" customHeight="false" outlineLevel="0" collapsed="false">
      <c r="A200" s="2" t="s">
        <v>271</v>
      </c>
      <c r="B200" s="2" t="s">
        <v>249</v>
      </c>
      <c r="C200" s="2" t="s">
        <v>248</v>
      </c>
      <c r="D200" s="3" t="n">
        <v>37000</v>
      </c>
      <c r="E200" s="4" t="s">
        <v>14</v>
      </c>
      <c r="F200" s="2" t="s">
        <v>26</v>
      </c>
      <c r="G200" s="6"/>
      <c r="H200" s="6"/>
      <c r="I200" s="6"/>
      <c r="J200" s="2" t="s">
        <v>27</v>
      </c>
      <c r="K200" s="2"/>
    </row>
    <row r="201" customFormat="false" ht="15" hidden="false" customHeight="false" outlineLevel="0" collapsed="false">
      <c r="A201" s="2" t="s">
        <v>272</v>
      </c>
      <c r="B201" s="2" t="s">
        <v>249</v>
      </c>
      <c r="C201" s="2" t="s">
        <v>248</v>
      </c>
      <c r="D201" s="3" t="n">
        <v>36500</v>
      </c>
      <c r="E201" s="4" t="s">
        <v>14</v>
      </c>
      <c r="F201" s="5" t="s">
        <v>15</v>
      </c>
      <c r="G201" s="6"/>
      <c r="H201" s="6"/>
      <c r="I201" s="6"/>
      <c r="J201" s="2" t="s">
        <v>16</v>
      </c>
      <c r="K201" s="2" t="s">
        <v>17</v>
      </c>
    </row>
    <row r="202" customFormat="false" ht="15" hidden="false" customHeight="false" outlineLevel="0" collapsed="false">
      <c r="A202" s="2" t="s">
        <v>231</v>
      </c>
      <c r="B202" s="2" t="s">
        <v>249</v>
      </c>
      <c r="C202" s="2" t="s">
        <v>248</v>
      </c>
      <c r="D202" s="3" t="n">
        <v>36000</v>
      </c>
      <c r="E202" s="4" t="s">
        <v>14</v>
      </c>
      <c r="F202" s="2" t="s">
        <v>26</v>
      </c>
      <c r="G202" s="6"/>
      <c r="H202" s="6"/>
      <c r="I202" s="6"/>
      <c r="J202" s="2" t="s">
        <v>27</v>
      </c>
      <c r="K202" s="2"/>
    </row>
    <row r="203" customFormat="false" ht="15" hidden="false" customHeight="false" outlineLevel="0" collapsed="false">
      <c r="A203" s="2" t="s">
        <v>273</v>
      </c>
      <c r="B203" s="2" t="s">
        <v>249</v>
      </c>
      <c r="C203" s="2" t="s">
        <v>261</v>
      </c>
      <c r="D203" s="3" t="n">
        <v>36000</v>
      </c>
      <c r="E203" s="4" t="s">
        <v>14</v>
      </c>
      <c r="F203" s="2" t="s">
        <v>26</v>
      </c>
      <c r="G203" s="6"/>
      <c r="H203" s="6"/>
      <c r="I203" s="6"/>
      <c r="J203" s="2" t="s">
        <v>27</v>
      </c>
      <c r="K203" s="2"/>
    </row>
    <row r="204" customFormat="false" ht="15" hidden="false" customHeight="false" outlineLevel="0" collapsed="false">
      <c r="A204" s="2" t="s">
        <v>274</v>
      </c>
      <c r="B204" s="2" t="s">
        <v>249</v>
      </c>
      <c r="C204" s="2" t="s">
        <v>257</v>
      </c>
      <c r="D204" s="3" t="n">
        <v>35000</v>
      </c>
      <c r="E204" s="4" t="s">
        <v>14</v>
      </c>
      <c r="F204" s="5" t="s">
        <v>15</v>
      </c>
      <c r="G204" s="6"/>
      <c r="H204" s="6"/>
      <c r="I204" s="6"/>
      <c r="J204" s="2" t="s">
        <v>16</v>
      </c>
      <c r="K204" s="2" t="s">
        <v>17</v>
      </c>
    </row>
    <row r="205" customFormat="false" ht="15" hidden="false" customHeight="false" outlineLevel="0" collapsed="false">
      <c r="A205" s="2" t="s">
        <v>275</v>
      </c>
      <c r="B205" s="2" t="s">
        <v>249</v>
      </c>
      <c r="C205" s="2" t="s">
        <v>275</v>
      </c>
      <c r="D205" s="3" t="n">
        <v>33000</v>
      </c>
      <c r="E205" s="4" t="s">
        <v>14</v>
      </c>
      <c r="F205" s="2" t="s">
        <v>26</v>
      </c>
      <c r="G205" s="6"/>
      <c r="H205" s="6"/>
      <c r="I205" s="6"/>
      <c r="J205" s="2" t="s">
        <v>27</v>
      </c>
      <c r="K205" s="2"/>
    </row>
    <row r="206" customFormat="false" ht="15" hidden="false" customHeight="false" outlineLevel="0" collapsed="false">
      <c r="A206" s="2" t="s">
        <v>276</v>
      </c>
      <c r="B206" s="2" t="s">
        <v>249</v>
      </c>
      <c r="C206" s="2" t="s">
        <v>277</v>
      </c>
      <c r="D206" s="3" t="n">
        <v>32000</v>
      </c>
      <c r="E206" s="4" t="s">
        <v>14</v>
      </c>
      <c r="F206" s="5" t="s">
        <v>15</v>
      </c>
      <c r="G206" s="6"/>
      <c r="H206" s="6"/>
      <c r="I206" s="6"/>
      <c r="J206" s="2" t="s">
        <v>16</v>
      </c>
      <c r="K206" s="2" t="s">
        <v>17</v>
      </c>
    </row>
    <row r="207" customFormat="false" ht="15" hidden="false" customHeight="false" outlineLevel="0" collapsed="false">
      <c r="A207" s="2" t="s">
        <v>278</v>
      </c>
      <c r="B207" s="2" t="s">
        <v>249</v>
      </c>
      <c r="C207" s="2" t="s">
        <v>250</v>
      </c>
      <c r="D207" s="3" t="n">
        <v>32000</v>
      </c>
      <c r="E207" s="4" t="s">
        <v>14</v>
      </c>
      <c r="F207" s="5" t="s">
        <v>15</v>
      </c>
      <c r="G207" s="6"/>
      <c r="H207" s="6"/>
      <c r="I207" s="6"/>
      <c r="J207" s="2" t="s">
        <v>16</v>
      </c>
      <c r="K207" s="2" t="s">
        <v>17</v>
      </c>
    </row>
    <row r="208" customFormat="false" ht="15" hidden="false" customHeight="false" outlineLevel="0" collapsed="false">
      <c r="A208" s="2" t="s">
        <v>279</v>
      </c>
      <c r="B208" s="2" t="s">
        <v>249</v>
      </c>
      <c r="C208" s="2" t="s">
        <v>250</v>
      </c>
      <c r="D208" s="3" t="n">
        <v>28000</v>
      </c>
      <c r="E208" s="4" t="s">
        <v>14</v>
      </c>
      <c r="F208" s="5" t="s">
        <v>15</v>
      </c>
      <c r="G208" s="6"/>
      <c r="H208" s="6"/>
      <c r="I208" s="6"/>
      <c r="J208" s="2" t="s">
        <v>16</v>
      </c>
      <c r="K208" s="2" t="s">
        <v>17</v>
      </c>
    </row>
    <row r="209" customFormat="false" ht="15" hidden="false" customHeight="false" outlineLevel="0" collapsed="false">
      <c r="A209" s="2" t="s">
        <v>280</v>
      </c>
      <c r="B209" s="2" t="s">
        <v>249</v>
      </c>
      <c r="C209" s="2" t="s">
        <v>254</v>
      </c>
      <c r="D209" s="3" t="n">
        <v>27000</v>
      </c>
      <c r="E209" s="4" t="s">
        <v>14</v>
      </c>
      <c r="F209" s="2" t="s">
        <v>26</v>
      </c>
      <c r="G209" s="6"/>
      <c r="H209" s="6"/>
      <c r="I209" s="6"/>
      <c r="J209" s="2" t="s">
        <v>27</v>
      </c>
      <c r="K209" s="2"/>
    </row>
    <row r="210" customFormat="false" ht="15" hidden="false" customHeight="false" outlineLevel="0" collapsed="false">
      <c r="A210" s="2" t="s">
        <v>281</v>
      </c>
      <c r="B210" s="2" t="s">
        <v>249</v>
      </c>
      <c r="C210" s="2" t="s">
        <v>25</v>
      </c>
      <c r="D210" s="3" t="n">
        <v>27000</v>
      </c>
      <c r="E210" s="4" t="s">
        <v>14</v>
      </c>
      <c r="F210" s="2" t="s">
        <v>26</v>
      </c>
      <c r="G210" s="6"/>
      <c r="H210" s="6"/>
      <c r="I210" s="6"/>
      <c r="J210" s="2" t="s">
        <v>27</v>
      </c>
      <c r="K210" s="2"/>
    </row>
    <row r="211" customFormat="false" ht="15" hidden="false" customHeight="false" outlineLevel="0" collapsed="false">
      <c r="A211" s="2" t="s">
        <v>282</v>
      </c>
      <c r="B211" s="2" t="s">
        <v>249</v>
      </c>
      <c r="C211" s="2" t="s">
        <v>283</v>
      </c>
      <c r="D211" s="3" t="n">
        <v>27000</v>
      </c>
      <c r="E211" s="4" t="s">
        <v>14</v>
      </c>
      <c r="F211" s="2" t="s">
        <v>26</v>
      </c>
      <c r="G211" s="6"/>
      <c r="H211" s="6"/>
      <c r="I211" s="6"/>
      <c r="J211" s="2" t="s">
        <v>27</v>
      </c>
      <c r="K211" s="2"/>
    </row>
    <row r="212" customFormat="false" ht="15" hidden="false" customHeight="false" outlineLevel="0" collapsed="false">
      <c r="A212" s="2" t="s">
        <v>284</v>
      </c>
      <c r="B212" s="2" t="s">
        <v>249</v>
      </c>
      <c r="C212" s="2" t="s">
        <v>211</v>
      </c>
      <c r="D212" s="3" t="n">
        <v>26000</v>
      </c>
      <c r="E212" s="4" t="s">
        <v>14</v>
      </c>
      <c r="F212" s="2" t="s">
        <v>26</v>
      </c>
      <c r="G212" s="6"/>
      <c r="H212" s="6"/>
      <c r="I212" s="6"/>
      <c r="J212" s="2" t="s">
        <v>27</v>
      </c>
      <c r="K212" s="2"/>
    </row>
    <row r="213" customFormat="false" ht="15" hidden="false" customHeight="false" outlineLevel="0" collapsed="false">
      <c r="A213" s="2" t="s">
        <v>285</v>
      </c>
      <c r="B213" s="2" t="s">
        <v>249</v>
      </c>
      <c r="C213" s="2" t="s">
        <v>257</v>
      </c>
      <c r="D213" s="3" t="n">
        <v>25000</v>
      </c>
      <c r="E213" s="4" t="s">
        <v>14</v>
      </c>
      <c r="F213" s="2" t="s">
        <v>26</v>
      </c>
      <c r="G213" s="6"/>
      <c r="H213" s="6"/>
      <c r="I213" s="6"/>
      <c r="J213" s="2" t="s">
        <v>27</v>
      </c>
      <c r="K213" s="2"/>
    </row>
    <row r="214" customFormat="false" ht="15" hidden="false" customHeight="false" outlineLevel="0" collapsed="false">
      <c r="A214" s="2" t="s">
        <v>286</v>
      </c>
      <c r="B214" s="2" t="s">
        <v>249</v>
      </c>
      <c r="C214" s="2" t="s">
        <v>254</v>
      </c>
      <c r="D214" s="3" t="n">
        <v>25000</v>
      </c>
      <c r="E214" s="4" t="s">
        <v>14</v>
      </c>
      <c r="F214" s="2" t="s">
        <v>26</v>
      </c>
      <c r="G214" s="6"/>
      <c r="H214" s="6"/>
      <c r="I214" s="6"/>
      <c r="J214" s="2" t="s">
        <v>27</v>
      </c>
      <c r="K214" s="2"/>
    </row>
    <row r="215" customFormat="false" ht="15" hidden="false" customHeight="false" outlineLevel="0" collapsed="false">
      <c r="A215" s="2" t="s">
        <v>287</v>
      </c>
      <c r="B215" s="2" t="s">
        <v>249</v>
      </c>
      <c r="C215" s="2" t="s">
        <v>252</v>
      </c>
      <c r="D215" s="3" t="n">
        <v>24000</v>
      </c>
      <c r="E215" s="4" t="s">
        <v>14</v>
      </c>
      <c r="F215" s="5" t="s">
        <v>15</v>
      </c>
      <c r="G215" s="6"/>
      <c r="H215" s="6"/>
      <c r="I215" s="6"/>
      <c r="J215" s="2" t="s">
        <v>16</v>
      </c>
      <c r="K215" s="2" t="s">
        <v>17</v>
      </c>
    </row>
    <row r="216" customFormat="false" ht="15" hidden="false" customHeight="false" outlineLevel="0" collapsed="false">
      <c r="A216" s="2" t="s">
        <v>288</v>
      </c>
      <c r="B216" s="2" t="s">
        <v>249</v>
      </c>
      <c r="C216" s="2" t="s">
        <v>289</v>
      </c>
      <c r="D216" s="3" t="n">
        <v>24000</v>
      </c>
      <c r="E216" s="4" t="s">
        <v>14</v>
      </c>
      <c r="F216" s="5" t="s">
        <v>15</v>
      </c>
      <c r="G216" s="6"/>
      <c r="H216" s="6"/>
      <c r="I216" s="6"/>
      <c r="J216" s="2" t="s">
        <v>16</v>
      </c>
      <c r="K216" s="2" t="s">
        <v>17</v>
      </c>
    </row>
    <row r="217" customFormat="false" ht="15" hidden="false" customHeight="false" outlineLevel="0" collapsed="false">
      <c r="A217" s="2" t="s">
        <v>290</v>
      </c>
      <c r="B217" s="2" t="s">
        <v>249</v>
      </c>
      <c r="C217" s="2" t="s">
        <v>256</v>
      </c>
      <c r="D217" s="3" t="n">
        <v>23000</v>
      </c>
      <c r="E217" s="4" t="s">
        <v>14</v>
      </c>
      <c r="F217" s="2" t="s">
        <v>26</v>
      </c>
      <c r="G217" s="6"/>
      <c r="H217" s="6"/>
      <c r="I217" s="6"/>
      <c r="J217" s="2" t="s">
        <v>27</v>
      </c>
      <c r="K217" s="2"/>
    </row>
    <row r="218" customFormat="false" ht="15" hidden="false" customHeight="false" outlineLevel="0" collapsed="false">
      <c r="A218" s="2" t="s">
        <v>291</v>
      </c>
      <c r="B218" s="2" t="s">
        <v>249</v>
      </c>
      <c r="C218" s="2" t="s">
        <v>253</v>
      </c>
      <c r="D218" s="3" t="n">
        <v>21000</v>
      </c>
      <c r="E218" s="4" t="s">
        <v>14</v>
      </c>
      <c r="F218" s="2" t="s">
        <v>26</v>
      </c>
      <c r="G218" s="6"/>
      <c r="H218" s="6"/>
      <c r="I218" s="6"/>
      <c r="J218" s="2" t="s">
        <v>27</v>
      </c>
      <c r="K218" s="2"/>
    </row>
    <row r="219" customFormat="false" ht="15" hidden="false" customHeight="false" outlineLevel="0" collapsed="false">
      <c r="A219" s="2" t="s">
        <v>292</v>
      </c>
      <c r="B219" s="2" t="s">
        <v>249</v>
      </c>
      <c r="C219" s="2" t="s">
        <v>248</v>
      </c>
      <c r="D219" s="3" t="n">
        <v>21000</v>
      </c>
      <c r="E219" s="4" t="s">
        <v>14</v>
      </c>
      <c r="F219" s="2" t="s">
        <v>26</v>
      </c>
      <c r="G219" s="6"/>
      <c r="H219" s="6"/>
      <c r="I219" s="6"/>
      <c r="J219" s="2" t="s">
        <v>27</v>
      </c>
      <c r="K219" s="2"/>
    </row>
    <row r="220" customFormat="false" ht="15" hidden="false" customHeight="false" outlineLevel="0" collapsed="false">
      <c r="A220" s="2" t="s">
        <v>293</v>
      </c>
      <c r="B220" s="2" t="s">
        <v>249</v>
      </c>
      <c r="C220" s="2" t="s">
        <v>277</v>
      </c>
      <c r="D220" s="3" t="n">
        <v>20000</v>
      </c>
      <c r="E220" s="4" t="s">
        <v>14</v>
      </c>
      <c r="F220" s="5" t="s">
        <v>15</v>
      </c>
      <c r="G220" s="6"/>
      <c r="H220" s="6"/>
      <c r="I220" s="6"/>
      <c r="J220" s="2" t="s">
        <v>16</v>
      </c>
      <c r="K220" s="2" t="s">
        <v>17</v>
      </c>
    </row>
    <row r="221" customFormat="false" ht="15" hidden="false" customHeight="false" outlineLevel="0" collapsed="false">
      <c r="A221" s="2" t="s">
        <v>294</v>
      </c>
      <c r="B221" s="2" t="s">
        <v>249</v>
      </c>
      <c r="C221" s="2" t="s">
        <v>250</v>
      </c>
      <c r="D221" s="3" t="n">
        <v>19000</v>
      </c>
      <c r="E221" s="4" t="s">
        <v>14</v>
      </c>
      <c r="F221" s="5" t="s">
        <v>15</v>
      </c>
      <c r="G221" s="6"/>
      <c r="H221" s="6"/>
      <c r="I221" s="6"/>
      <c r="J221" s="2" t="s">
        <v>16</v>
      </c>
      <c r="K221" s="2" t="s">
        <v>17</v>
      </c>
    </row>
    <row r="222" customFormat="false" ht="15" hidden="false" customHeight="false" outlineLevel="0" collapsed="false">
      <c r="A222" s="2" t="s">
        <v>200</v>
      </c>
      <c r="B222" s="2" t="s">
        <v>249</v>
      </c>
      <c r="C222" s="2" t="s">
        <v>252</v>
      </c>
      <c r="D222" s="3" t="n">
        <v>19000</v>
      </c>
      <c r="E222" s="4" t="s">
        <v>14</v>
      </c>
      <c r="F222" s="2" t="s">
        <v>26</v>
      </c>
      <c r="G222" s="6"/>
      <c r="H222" s="6"/>
      <c r="I222" s="6"/>
      <c r="J222" s="2" t="s">
        <v>27</v>
      </c>
      <c r="K222" s="2"/>
    </row>
    <row r="223" customFormat="false" ht="15" hidden="false" customHeight="false" outlineLevel="0" collapsed="false">
      <c r="A223" s="2" t="s">
        <v>295</v>
      </c>
      <c r="B223" s="2" t="s">
        <v>249</v>
      </c>
      <c r="C223" s="2" t="s">
        <v>296</v>
      </c>
      <c r="D223" s="3" t="n">
        <v>19000</v>
      </c>
      <c r="E223" s="4" t="s">
        <v>14</v>
      </c>
      <c r="F223" s="2" t="s">
        <v>26</v>
      </c>
      <c r="G223" s="6"/>
      <c r="H223" s="6"/>
      <c r="I223" s="6"/>
      <c r="J223" s="2" t="s">
        <v>27</v>
      </c>
      <c r="K223" s="2"/>
    </row>
    <row r="224" customFormat="false" ht="15" hidden="false" customHeight="false" outlineLevel="0" collapsed="false">
      <c r="A224" s="2" t="s">
        <v>297</v>
      </c>
      <c r="B224" s="2" t="s">
        <v>249</v>
      </c>
      <c r="C224" s="2" t="s">
        <v>263</v>
      </c>
      <c r="D224" s="3" t="n">
        <v>19000</v>
      </c>
      <c r="E224" s="4" t="s">
        <v>14</v>
      </c>
      <c r="F224" s="2" t="s">
        <v>26</v>
      </c>
      <c r="G224" s="6"/>
      <c r="H224" s="6"/>
      <c r="I224" s="6"/>
      <c r="J224" s="2" t="s">
        <v>27</v>
      </c>
      <c r="K224" s="2"/>
    </row>
    <row r="225" customFormat="false" ht="15" hidden="false" customHeight="false" outlineLevel="0" collapsed="false">
      <c r="A225" s="2" t="s">
        <v>298</v>
      </c>
      <c r="B225" s="2" t="s">
        <v>249</v>
      </c>
      <c r="C225" s="2" t="s">
        <v>248</v>
      </c>
      <c r="D225" s="3" t="n">
        <v>18000</v>
      </c>
      <c r="E225" s="4" t="s">
        <v>14</v>
      </c>
      <c r="F225" s="2" t="s">
        <v>26</v>
      </c>
      <c r="G225" s="6"/>
      <c r="H225" s="6"/>
      <c r="I225" s="6"/>
      <c r="J225" s="2" t="s">
        <v>27</v>
      </c>
      <c r="K225" s="2"/>
    </row>
    <row r="226" customFormat="false" ht="15" hidden="false" customHeight="false" outlineLevel="0" collapsed="false">
      <c r="A226" s="2" t="s">
        <v>299</v>
      </c>
      <c r="B226" s="2" t="s">
        <v>249</v>
      </c>
      <c r="C226" s="2" t="s">
        <v>25</v>
      </c>
      <c r="D226" s="3" t="n">
        <v>18000</v>
      </c>
      <c r="E226" s="4" t="s">
        <v>14</v>
      </c>
      <c r="F226" s="2" t="s">
        <v>26</v>
      </c>
      <c r="G226" s="6"/>
      <c r="H226" s="6"/>
      <c r="I226" s="6"/>
      <c r="J226" s="2" t="s">
        <v>27</v>
      </c>
      <c r="K226" s="2"/>
    </row>
    <row r="227" customFormat="false" ht="15" hidden="false" customHeight="false" outlineLevel="0" collapsed="false">
      <c r="A227" s="2" t="s">
        <v>300</v>
      </c>
      <c r="B227" s="2" t="s">
        <v>249</v>
      </c>
      <c r="C227" s="2" t="s">
        <v>252</v>
      </c>
      <c r="D227" s="3" t="n">
        <v>17000</v>
      </c>
      <c r="E227" s="4" t="s">
        <v>14</v>
      </c>
      <c r="F227" s="5" t="s">
        <v>15</v>
      </c>
      <c r="G227" s="6"/>
      <c r="H227" s="6"/>
      <c r="I227" s="6"/>
      <c r="J227" s="2" t="s">
        <v>16</v>
      </c>
      <c r="K227" s="2" t="s">
        <v>17</v>
      </c>
    </row>
    <row r="228" customFormat="false" ht="15" hidden="false" customHeight="false" outlineLevel="0" collapsed="false">
      <c r="A228" s="2" t="s">
        <v>301</v>
      </c>
      <c r="B228" s="2" t="s">
        <v>249</v>
      </c>
      <c r="C228" s="2" t="s">
        <v>296</v>
      </c>
      <c r="D228" s="3" t="n">
        <v>17000</v>
      </c>
      <c r="E228" s="4" t="s">
        <v>14</v>
      </c>
      <c r="F228" s="2" t="s">
        <v>26</v>
      </c>
      <c r="G228" s="6"/>
      <c r="H228" s="6"/>
      <c r="I228" s="6"/>
      <c r="J228" s="2" t="s">
        <v>27</v>
      </c>
      <c r="K228" s="2"/>
    </row>
    <row r="229" customFormat="false" ht="15" hidden="false" customHeight="false" outlineLevel="0" collapsed="false">
      <c r="A229" s="2" t="s">
        <v>302</v>
      </c>
      <c r="B229" s="2" t="s">
        <v>249</v>
      </c>
      <c r="C229" s="2" t="s">
        <v>256</v>
      </c>
      <c r="D229" s="3" t="n">
        <v>16000</v>
      </c>
      <c r="E229" s="4" t="s">
        <v>14</v>
      </c>
      <c r="F229" s="2" t="s">
        <v>26</v>
      </c>
      <c r="G229" s="6"/>
      <c r="H229" s="6"/>
      <c r="I229" s="6"/>
      <c r="J229" s="2" t="s">
        <v>27</v>
      </c>
      <c r="K229" s="2"/>
    </row>
    <row r="230" customFormat="false" ht="15" hidden="false" customHeight="false" outlineLevel="0" collapsed="false">
      <c r="A230" s="2" t="s">
        <v>303</v>
      </c>
      <c r="B230" s="2" t="s">
        <v>249</v>
      </c>
      <c r="C230" s="2" t="s">
        <v>304</v>
      </c>
      <c r="D230" s="3" t="n">
        <v>16000</v>
      </c>
      <c r="E230" s="4" t="s">
        <v>14</v>
      </c>
      <c r="F230" s="2" t="s">
        <v>26</v>
      </c>
      <c r="G230" s="6"/>
      <c r="H230" s="6"/>
      <c r="I230" s="6"/>
      <c r="J230" s="2" t="s">
        <v>27</v>
      </c>
      <c r="K230" s="2"/>
    </row>
    <row r="231" customFormat="false" ht="15" hidden="false" customHeight="false" outlineLevel="0" collapsed="false">
      <c r="A231" s="2" t="s">
        <v>305</v>
      </c>
      <c r="B231" s="2" t="s">
        <v>249</v>
      </c>
      <c r="C231" s="2" t="s">
        <v>248</v>
      </c>
      <c r="D231" s="3" t="n">
        <v>14000</v>
      </c>
      <c r="E231" s="4" t="s">
        <v>14</v>
      </c>
      <c r="F231" s="2" t="s">
        <v>26</v>
      </c>
      <c r="G231" s="6"/>
      <c r="H231" s="6"/>
      <c r="I231" s="6"/>
      <c r="J231" s="2" t="s">
        <v>27</v>
      </c>
      <c r="K231" s="2"/>
    </row>
    <row r="232" customFormat="false" ht="15" hidden="false" customHeight="false" outlineLevel="0" collapsed="false">
      <c r="A232" s="2" t="s">
        <v>306</v>
      </c>
      <c r="B232" s="2" t="s">
        <v>249</v>
      </c>
      <c r="C232" s="2" t="s">
        <v>250</v>
      </c>
      <c r="D232" s="3" t="n">
        <v>13800</v>
      </c>
      <c r="E232" s="4" t="s">
        <v>14</v>
      </c>
      <c r="F232" s="5" t="s">
        <v>15</v>
      </c>
      <c r="G232" s="6"/>
      <c r="H232" s="6"/>
      <c r="I232" s="6"/>
      <c r="J232" s="2" t="s">
        <v>16</v>
      </c>
      <c r="K232" s="2" t="s">
        <v>17</v>
      </c>
    </row>
    <row r="233" customFormat="false" ht="15" hidden="false" customHeight="false" outlineLevel="0" collapsed="false">
      <c r="A233" s="2" t="s">
        <v>307</v>
      </c>
      <c r="B233" s="2" t="s">
        <v>249</v>
      </c>
      <c r="C233" s="2" t="s">
        <v>248</v>
      </c>
      <c r="D233" s="3" t="n">
        <v>13000</v>
      </c>
      <c r="E233" s="4" t="s">
        <v>14</v>
      </c>
      <c r="F233" s="5" t="s">
        <v>15</v>
      </c>
      <c r="G233" s="6"/>
      <c r="H233" s="6"/>
      <c r="I233" s="6"/>
      <c r="J233" s="2" t="s">
        <v>16</v>
      </c>
      <c r="K233" s="2" t="s">
        <v>17</v>
      </c>
    </row>
    <row r="234" customFormat="false" ht="15" hidden="false" customHeight="false" outlineLevel="0" collapsed="false">
      <c r="A234" s="2" t="s">
        <v>157</v>
      </c>
      <c r="B234" s="2" t="s">
        <v>249</v>
      </c>
      <c r="C234" s="2" t="s">
        <v>248</v>
      </c>
      <c r="D234" s="3" t="n">
        <v>13000</v>
      </c>
      <c r="E234" s="4" t="s">
        <v>14</v>
      </c>
      <c r="F234" s="5" t="s">
        <v>15</v>
      </c>
      <c r="G234" s="6"/>
      <c r="H234" s="6"/>
      <c r="I234" s="6"/>
      <c r="J234" s="2" t="s">
        <v>16</v>
      </c>
      <c r="K234" s="2" t="s">
        <v>17</v>
      </c>
    </row>
    <row r="235" customFormat="false" ht="15" hidden="false" customHeight="false" outlineLevel="0" collapsed="false">
      <c r="A235" s="2" t="s">
        <v>308</v>
      </c>
      <c r="B235" s="2" t="s">
        <v>249</v>
      </c>
      <c r="C235" s="2" t="s">
        <v>250</v>
      </c>
      <c r="D235" s="3" t="n">
        <v>13000</v>
      </c>
      <c r="E235" s="4" t="s">
        <v>14</v>
      </c>
      <c r="F235" s="2" t="s">
        <v>26</v>
      </c>
      <c r="G235" s="6"/>
      <c r="H235" s="6"/>
      <c r="I235" s="6"/>
      <c r="J235" s="2" t="s">
        <v>27</v>
      </c>
      <c r="K235" s="2"/>
    </row>
    <row r="236" customFormat="false" ht="15" hidden="false" customHeight="false" outlineLevel="0" collapsed="false">
      <c r="A236" s="2" t="s">
        <v>309</v>
      </c>
      <c r="B236" s="2" t="s">
        <v>249</v>
      </c>
      <c r="C236" s="2" t="s">
        <v>289</v>
      </c>
      <c r="D236" s="3" t="n">
        <v>12000</v>
      </c>
      <c r="E236" s="4" t="s">
        <v>14</v>
      </c>
      <c r="F236" s="5" t="s">
        <v>15</v>
      </c>
      <c r="G236" s="6"/>
      <c r="H236" s="6"/>
      <c r="I236" s="6"/>
      <c r="J236" s="2" t="s">
        <v>16</v>
      </c>
      <c r="K236" s="2" t="s">
        <v>17</v>
      </c>
    </row>
    <row r="237" customFormat="false" ht="15" hidden="false" customHeight="false" outlineLevel="0" collapsed="false">
      <c r="A237" s="2" t="s">
        <v>310</v>
      </c>
      <c r="B237" s="2" t="s">
        <v>249</v>
      </c>
      <c r="C237" s="2" t="s">
        <v>248</v>
      </c>
      <c r="D237" s="3" t="n">
        <v>12000</v>
      </c>
      <c r="E237" s="4" t="s">
        <v>14</v>
      </c>
      <c r="F237" s="2" t="s">
        <v>26</v>
      </c>
      <c r="G237" s="6"/>
      <c r="H237" s="6"/>
      <c r="I237" s="6"/>
      <c r="J237" s="2" t="s">
        <v>27</v>
      </c>
      <c r="K237" s="2"/>
    </row>
    <row r="238" customFormat="false" ht="15" hidden="false" customHeight="false" outlineLevel="0" collapsed="false">
      <c r="A238" s="2" t="s">
        <v>311</v>
      </c>
      <c r="B238" s="2" t="s">
        <v>249</v>
      </c>
      <c r="C238" s="2" t="s">
        <v>312</v>
      </c>
      <c r="D238" s="3" t="n">
        <v>12000</v>
      </c>
      <c r="E238" s="4" t="s">
        <v>14</v>
      </c>
      <c r="F238" s="2" t="s">
        <v>26</v>
      </c>
      <c r="G238" s="6"/>
      <c r="H238" s="6"/>
      <c r="I238" s="6"/>
      <c r="J238" s="2" t="s">
        <v>27</v>
      </c>
      <c r="K238" s="2"/>
    </row>
    <row r="239" customFormat="false" ht="15" hidden="false" customHeight="false" outlineLevel="0" collapsed="false">
      <c r="A239" s="2" t="s">
        <v>313</v>
      </c>
      <c r="B239" s="2" t="s">
        <v>249</v>
      </c>
      <c r="C239" s="2" t="s">
        <v>256</v>
      </c>
      <c r="D239" s="3" t="n">
        <v>12000</v>
      </c>
      <c r="E239" s="4" t="s">
        <v>14</v>
      </c>
      <c r="F239" s="2" t="s">
        <v>26</v>
      </c>
      <c r="G239" s="6"/>
      <c r="H239" s="6"/>
      <c r="I239" s="6"/>
      <c r="J239" s="2" t="s">
        <v>27</v>
      </c>
      <c r="K239" s="2"/>
    </row>
    <row r="240" customFormat="false" ht="15" hidden="false" customHeight="false" outlineLevel="0" collapsed="false">
      <c r="A240" s="2" t="s">
        <v>314</v>
      </c>
      <c r="B240" s="2" t="s">
        <v>249</v>
      </c>
      <c r="C240" s="2" t="s">
        <v>256</v>
      </c>
      <c r="D240" s="3" t="n">
        <v>12000</v>
      </c>
      <c r="E240" s="4" t="s">
        <v>14</v>
      </c>
      <c r="F240" s="2" t="s">
        <v>26</v>
      </c>
      <c r="G240" s="6"/>
      <c r="H240" s="6"/>
      <c r="I240" s="6"/>
      <c r="J240" s="2" t="s">
        <v>27</v>
      </c>
      <c r="K240" s="2"/>
    </row>
    <row r="241" customFormat="false" ht="15" hidden="false" customHeight="false" outlineLevel="0" collapsed="false">
      <c r="A241" s="2" t="s">
        <v>315</v>
      </c>
      <c r="B241" s="2" t="s">
        <v>249</v>
      </c>
      <c r="C241" s="2" t="s">
        <v>289</v>
      </c>
      <c r="D241" s="3" t="n">
        <v>11600</v>
      </c>
      <c r="E241" s="4" t="s">
        <v>14</v>
      </c>
      <c r="F241" s="5" t="s">
        <v>15</v>
      </c>
      <c r="G241" s="6"/>
      <c r="H241" s="6"/>
      <c r="I241" s="6"/>
      <c r="J241" s="2" t="s">
        <v>16</v>
      </c>
      <c r="K241" s="2" t="s">
        <v>17</v>
      </c>
    </row>
    <row r="242" customFormat="false" ht="15" hidden="false" customHeight="false" outlineLevel="0" collapsed="false">
      <c r="A242" s="2" t="s">
        <v>316</v>
      </c>
      <c r="B242" s="2" t="s">
        <v>249</v>
      </c>
      <c r="C242" s="2" t="s">
        <v>289</v>
      </c>
      <c r="D242" s="3" t="n">
        <v>11600</v>
      </c>
      <c r="E242" s="4" t="s">
        <v>14</v>
      </c>
      <c r="F242" s="5" t="s">
        <v>15</v>
      </c>
      <c r="G242" s="6"/>
      <c r="H242" s="6"/>
      <c r="I242" s="6"/>
      <c r="J242" s="2" t="s">
        <v>16</v>
      </c>
      <c r="K242" s="2" t="s">
        <v>17</v>
      </c>
    </row>
    <row r="243" customFormat="false" ht="15" hidden="false" customHeight="false" outlineLevel="0" collapsed="false">
      <c r="A243" s="2" t="s">
        <v>317</v>
      </c>
      <c r="B243" s="2" t="s">
        <v>249</v>
      </c>
      <c r="C243" s="2" t="s">
        <v>250</v>
      </c>
      <c r="D243" s="3" t="n">
        <v>10000</v>
      </c>
      <c r="E243" s="4" t="s">
        <v>14</v>
      </c>
      <c r="F243" s="2" t="s">
        <v>26</v>
      </c>
      <c r="G243" s="6"/>
      <c r="H243" s="6"/>
      <c r="I243" s="6"/>
      <c r="J243" s="2" t="s">
        <v>27</v>
      </c>
      <c r="K243" s="2"/>
    </row>
    <row r="244" customFormat="false" ht="15" hidden="false" customHeight="false" outlineLevel="0" collapsed="false">
      <c r="A244" s="2" t="s">
        <v>318</v>
      </c>
      <c r="B244" s="2" t="s">
        <v>249</v>
      </c>
      <c r="C244" s="2" t="s">
        <v>263</v>
      </c>
      <c r="D244" s="3" t="n">
        <v>10000</v>
      </c>
      <c r="E244" s="4" t="s">
        <v>14</v>
      </c>
      <c r="F244" s="2" t="s">
        <v>26</v>
      </c>
      <c r="G244" s="6"/>
      <c r="H244" s="6"/>
      <c r="I244" s="6"/>
      <c r="J244" s="2" t="s">
        <v>27</v>
      </c>
      <c r="K244" s="2"/>
    </row>
    <row r="245" customFormat="false" ht="15" hidden="false" customHeight="false" outlineLevel="0" collapsed="false">
      <c r="A245" s="2" t="s">
        <v>319</v>
      </c>
      <c r="B245" s="2" t="s">
        <v>249</v>
      </c>
      <c r="C245" s="2" t="s">
        <v>250</v>
      </c>
      <c r="D245" s="3" t="n">
        <v>8000</v>
      </c>
      <c r="E245" s="7" t="s">
        <v>169</v>
      </c>
      <c r="F245" s="2" t="s">
        <v>26</v>
      </c>
      <c r="G245" s="6"/>
      <c r="H245" s="6"/>
      <c r="I245" s="6"/>
      <c r="J245" s="2" t="s">
        <v>27</v>
      </c>
      <c r="K245" s="2"/>
    </row>
    <row r="246" customFormat="false" ht="15" hidden="false" customHeight="false" outlineLevel="0" collapsed="false">
      <c r="A246" s="2" t="s">
        <v>320</v>
      </c>
      <c r="B246" s="2" t="s">
        <v>249</v>
      </c>
      <c r="C246" s="2" t="s">
        <v>321</v>
      </c>
      <c r="D246" s="3" t="n">
        <v>8000</v>
      </c>
      <c r="E246" s="7" t="s">
        <v>169</v>
      </c>
      <c r="F246" s="2" t="s">
        <v>26</v>
      </c>
      <c r="G246" s="6"/>
      <c r="H246" s="6"/>
      <c r="I246" s="6"/>
      <c r="J246" s="2" t="s">
        <v>27</v>
      </c>
      <c r="K246" s="2"/>
    </row>
  </sheetData>
  <autoFilter ref="A1:K246"/>
  <dataValidations count="2">
    <dataValidation allowBlank="false" error="Please select a valid tier" errorStyle="stop" operator="between" showDropDown="false" showErrorMessage="false" showInputMessage="false" sqref="E2:E246" type="list">
      <formula1>"A - High Priority,B - Medium,C - Low Priority"</formula1>
      <formula2>0</formula2>
    </dataValidation>
    <dataValidation allowBlank="false" errorStyle="stop" operator="between" showDropDown="false" showErrorMessage="false" showInputMessage="false" sqref="F2:F246" type="list">
      <formula1>"Not Started,In Progress,Complete,Verified"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AL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2" min="10" style="0" width="14"/>
    <col collapsed="false" customWidth="true" hidden="false" outlineLevel="0" max="13" min="13" style="0" width="18"/>
    <col collapsed="false" customWidth="true" hidden="false" outlineLevel="0" max="16" min="14" style="0" width="14"/>
    <col collapsed="false" customWidth="true" hidden="false" outlineLevel="0" max="17" min="17" style="0" width="18"/>
    <col collapsed="false" customWidth="true" hidden="false" outlineLevel="0" max="21" min="18" style="0" width="16"/>
    <col collapsed="false" customWidth="true" hidden="false" outlineLevel="0" max="22" min="22" style="0" width="18"/>
    <col collapsed="false" customWidth="true" hidden="false" outlineLevel="0" max="24" min="23" style="0" width="16"/>
    <col collapsed="false" customWidth="true" hidden="false" outlineLevel="0" max="25" min="25" style="0" width="14"/>
    <col collapsed="false" customWidth="true" hidden="false" outlineLevel="0" max="26" min="26" style="0" width="18"/>
    <col collapsed="false" customWidth="true" hidden="false" outlineLevel="0" max="27" min="27" style="0" width="16"/>
    <col collapsed="false" customWidth="true" hidden="false" outlineLevel="0" max="28" min="28" style="0" width="14"/>
    <col collapsed="false" customWidth="true" hidden="false" outlineLevel="0" max="29" min="29" style="0" width="20"/>
    <col collapsed="false" customWidth="true" hidden="false" outlineLevel="0" max="30" min="30" style="0" width="30"/>
    <col collapsed="false" customWidth="true" hidden="false" outlineLevel="0" max="32" min="31" style="0" width="18"/>
    <col collapsed="false" customWidth="true" hidden="false" outlineLevel="0" max="33" min="33" style="0" width="14"/>
    <col collapsed="false" customWidth="true" hidden="false" outlineLevel="0" max="35" min="34" style="0" width="30"/>
    <col collapsed="false" customWidth="true" hidden="false" outlineLevel="0" max="37" min="36" style="0" width="1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333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339</v>
      </c>
      <c r="U1" s="1" t="s">
        <v>340</v>
      </c>
      <c r="V1" s="1" t="s">
        <v>341</v>
      </c>
      <c r="W1" s="1" t="s">
        <v>342</v>
      </c>
      <c r="X1" s="1" t="s">
        <v>343</v>
      </c>
      <c r="Y1" s="1" t="s">
        <v>344</v>
      </c>
      <c r="Z1" s="1" t="s">
        <v>345</v>
      </c>
      <c r="AA1" s="1" t="s">
        <v>346</v>
      </c>
      <c r="AB1" s="1" t="s">
        <v>347</v>
      </c>
      <c r="AC1" s="1" t="s">
        <v>348</v>
      </c>
      <c r="AD1" s="1" t="s">
        <v>349</v>
      </c>
      <c r="AE1" s="1" t="s">
        <v>350</v>
      </c>
      <c r="AF1" s="1" t="s">
        <v>351</v>
      </c>
      <c r="AG1" s="1" t="s">
        <v>352</v>
      </c>
      <c r="AH1" s="1" t="s">
        <v>353</v>
      </c>
      <c r="AI1" s="1" t="s">
        <v>354</v>
      </c>
      <c r="AJ1" s="1" t="s">
        <v>355</v>
      </c>
      <c r="AK1" s="1" t="s">
        <v>356</v>
      </c>
      <c r="AL1" s="1" t="s">
        <v>357</v>
      </c>
    </row>
    <row r="2" customFormat="false" ht="15" hidden="false" customHeight="false" outlineLevel="0" collapsed="false">
      <c r="A2" s="2" t="s">
        <v>11</v>
      </c>
      <c r="B2" s="2" t="s">
        <v>12</v>
      </c>
      <c r="C2" s="6"/>
      <c r="D2" s="6"/>
      <c r="E2" s="6"/>
      <c r="F2" s="6"/>
      <c r="G2" s="9" t="n">
        <v>18</v>
      </c>
      <c r="H2" s="6"/>
      <c r="I2" s="6"/>
      <c r="J2" s="6"/>
      <c r="K2" s="6"/>
      <c r="L2" s="6"/>
      <c r="M2" s="6"/>
      <c r="N2" s="6"/>
      <c r="O2" s="6"/>
      <c r="P2" s="6"/>
      <c r="Q2" s="9" t="n">
        <v>18</v>
      </c>
      <c r="R2" s="6"/>
      <c r="S2" s="6"/>
      <c r="T2" s="6"/>
      <c r="U2" s="6"/>
      <c r="V2" s="9" t="n">
        <v>18</v>
      </c>
      <c r="W2" s="6"/>
      <c r="X2" s="6"/>
      <c r="Y2" s="6"/>
      <c r="Z2" s="9" t="n">
        <v>18</v>
      </c>
      <c r="AA2" s="6"/>
      <c r="AB2" s="6"/>
      <c r="AC2" s="6"/>
      <c r="AD2" s="6"/>
      <c r="AE2" s="9" t="n">
        <v>18</v>
      </c>
      <c r="AF2" s="10" t="n">
        <f aca="false">IF(AG2&lt;&gt;"",AG2,SUM(G2,Q2,V2,Z2,AE2))</f>
        <v>90</v>
      </c>
      <c r="AG2" s="6"/>
      <c r="AH2" s="6"/>
      <c r="AI2" s="5" t="s">
        <v>358</v>
      </c>
      <c r="AJ2" s="6"/>
      <c r="AK2" s="6"/>
      <c r="AL2" s="6"/>
    </row>
    <row r="3" customFormat="false" ht="15" hidden="false" customHeight="false" outlineLevel="0" collapsed="false">
      <c r="A3" s="2" t="s">
        <v>18</v>
      </c>
      <c r="B3" s="2" t="s">
        <v>12</v>
      </c>
      <c r="C3" s="6"/>
      <c r="D3" s="6"/>
      <c r="E3" s="6"/>
      <c r="F3" s="6"/>
      <c r="G3" s="9" t="n">
        <v>20</v>
      </c>
      <c r="H3" s="6"/>
      <c r="I3" s="6"/>
      <c r="J3" s="6"/>
      <c r="K3" s="6"/>
      <c r="L3" s="6"/>
      <c r="M3" s="6"/>
      <c r="N3" s="6"/>
      <c r="O3" s="6"/>
      <c r="P3" s="6"/>
      <c r="Q3" s="9" t="n">
        <v>20</v>
      </c>
      <c r="R3" s="6"/>
      <c r="S3" s="6"/>
      <c r="T3" s="6"/>
      <c r="U3" s="6"/>
      <c r="V3" s="9" t="n">
        <v>20</v>
      </c>
      <c r="W3" s="6"/>
      <c r="X3" s="6"/>
      <c r="Y3" s="6"/>
      <c r="Z3" s="9" t="n">
        <v>20</v>
      </c>
      <c r="AA3" s="6"/>
      <c r="AB3" s="6"/>
      <c r="AC3" s="6"/>
      <c r="AD3" s="6"/>
      <c r="AE3" s="9" t="n">
        <v>20</v>
      </c>
      <c r="AF3" s="10" t="n">
        <f aca="false">IF(AG3&lt;&gt;"",AG3,SUM(G3,Q3,V3,Z3,AE3))</f>
        <v>100</v>
      </c>
      <c r="AG3" s="6"/>
      <c r="AH3" s="6"/>
      <c r="AI3" s="5" t="s">
        <v>358</v>
      </c>
      <c r="AJ3" s="6"/>
      <c r="AK3" s="6"/>
      <c r="AL3" s="6"/>
    </row>
    <row r="4" customFormat="false" ht="15" hidden="false" customHeight="false" outlineLevel="0" collapsed="false">
      <c r="A4" s="2" t="s">
        <v>20</v>
      </c>
      <c r="B4" s="2" t="s">
        <v>12</v>
      </c>
      <c r="C4" s="6"/>
      <c r="D4" s="9" t="s">
        <v>359</v>
      </c>
      <c r="E4" s="6"/>
      <c r="F4" s="9" t="s">
        <v>359</v>
      </c>
      <c r="G4" s="9" t="n">
        <v>12</v>
      </c>
      <c r="H4" s="9" t="n">
        <v>10</v>
      </c>
      <c r="I4" s="6"/>
      <c r="J4" s="6"/>
      <c r="K4" s="6"/>
      <c r="L4" s="6"/>
      <c r="M4" s="6"/>
      <c r="N4" s="6"/>
      <c r="O4" s="6"/>
      <c r="P4" s="6"/>
      <c r="Q4" s="9" t="n">
        <v>8</v>
      </c>
      <c r="R4" s="9" t="n">
        <v>1</v>
      </c>
      <c r="S4" s="9" t="n">
        <v>1</v>
      </c>
      <c r="T4" s="6"/>
      <c r="U4" s="6"/>
      <c r="V4" s="9" t="n">
        <v>5</v>
      </c>
      <c r="W4" s="9" t="n">
        <v>3</v>
      </c>
      <c r="X4" s="9" t="n">
        <v>2</v>
      </c>
      <c r="Y4" s="6"/>
      <c r="Z4" s="9" t="n">
        <v>8</v>
      </c>
      <c r="AA4" s="9" t="s">
        <v>360</v>
      </c>
      <c r="AB4" s="6"/>
      <c r="AC4" s="6"/>
      <c r="AD4" s="9" t="s">
        <v>361</v>
      </c>
      <c r="AE4" s="9" t="n">
        <v>5</v>
      </c>
      <c r="AF4" s="10" t="n">
        <f aca="false">IF(AG4&lt;&gt;"",AG4,SUM(G4,Q4,V4,Z4,AE4))</f>
        <v>38</v>
      </c>
      <c r="AG4" s="6"/>
      <c r="AH4" s="6"/>
      <c r="AI4" s="11" t="s">
        <v>362</v>
      </c>
      <c r="AJ4" s="6"/>
      <c r="AK4" s="6"/>
      <c r="AL4" s="6"/>
    </row>
    <row r="5" customFormat="false" ht="15" hidden="false" customHeight="false" outlineLevel="0" collapsed="false">
      <c r="A5" s="2" t="s">
        <v>22</v>
      </c>
      <c r="B5" s="2" t="s">
        <v>12</v>
      </c>
      <c r="C5" s="6"/>
      <c r="D5" s="6"/>
      <c r="E5" s="6"/>
      <c r="F5" s="6"/>
      <c r="G5" s="9" t="n">
        <v>20</v>
      </c>
      <c r="H5" s="6"/>
      <c r="I5" s="6"/>
      <c r="J5" s="6"/>
      <c r="K5" s="6"/>
      <c r="L5" s="6"/>
      <c r="M5" s="6"/>
      <c r="N5" s="6"/>
      <c r="O5" s="6"/>
      <c r="P5" s="6"/>
      <c r="Q5" s="9" t="n">
        <v>20</v>
      </c>
      <c r="R5" s="6"/>
      <c r="S5" s="6"/>
      <c r="T5" s="6"/>
      <c r="U5" s="6"/>
      <c r="V5" s="9" t="n">
        <v>20</v>
      </c>
      <c r="W5" s="6"/>
      <c r="X5" s="6"/>
      <c r="Y5" s="6"/>
      <c r="Z5" s="9" t="n">
        <v>20</v>
      </c>
      <c r="AA5" s="6"/>
      <c r="AB5" s="6"/>
      <c r="AC5" s="6"/>
      <c r="AD5" s="6"/>
      <c r="AE5" s="9" t="n">
        <v>20</v>
      </c>
      <c r="AF5" s="10" t="n">
        <f aca="false">IF(AG5&lt;&gt;"",AG5,SUM(G5,Q5,V5,Z5,AE5))</f>
        <v>100</v>
      </c>
      <c r="AG5" s="6"/>
      <c r="AH5" s="6"/>
      <c r="AI5" s="5" t="s">
        <v>358</v>
      </c>
      <c r="AJ5" s="6"/>
      <c r="AK5" s="6"/>
      <c r="AL5" s="6"/>
    </row>
    <row r="6" customFormat="false" ht="15" hidden="false" customHeight="false" outlineLevel="0" collapsed="false">
      <c r="A6" s="2" t="s">
        <v>24</v>
      </c>
      <c r="B6" s="2" t="s">
        <v>12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0" t="n">
        <f aca="false">IF(AG6&lt;&gt;"",AG6,SUM(G6,Q6,V6,Z6,AE6))</f>
        <v>0</v>
      </c>
      <c r="AG6" s="6"/>
      <c r="AH6" s="6"/>
      <c r="AI6" s="6"/>
      <c r="AJ6" s="6"/>
      <c r="AK6" s="6"/>
      <c r="AL6" s="6"/>
    </row>
    <row r="7" customFormat="false" ht="15" hidden="false" customHeight="false" outlineLevel="0" collapsed="false">
      <c r="A7" s="2" t="s">
        <v>28</v>
      </c>
      <c r="B7" s="2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0" t="n">
        <f aca="false">IF(AG7&lt;&gt;"",AG7,SUM(G7,Q7,V7,Z7,AE7))</f>
        <v>0</v>
      </c>
      <c r="AG7" s="6"/>
      <c r="AH7" s="6"/>
      <c r="AI7" s="6"/>
      <c r="AJ7" s="6"/>
      <c r="AK7" s="6"/>
      <c r="AL7" s="6"/>
    </row>
    <row r="8" customFormat="false" ht="15" hidden="false" customHeight="false" outlineLevel="0" collapsed="false">
      <c r="A8" s="2" t="s">
        <v>30</v>
      </c>
      <c r="B8" s="2" t="s">
        <v>12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0" t="n">
        <f aca="false">IF(AG8&lt;&gt;"",AG8,SUM(G8,Q8,V8,Z8,AE8))</f>
        <v>0</v>
      </c>
      <c r="AG8" s="6"/>
      <c r="AH8" s="6"/>
      <c r="AI8" s="6"/>
      <c r="AJ8" s="6"/>
      <c r="AK8" s="6"/>
      <c r="AL8" s="6"/>
    </row>
    <row r="9" customFormat="false" ht="15" hidden="false" customHeight="false" outlineLevel="0" collapsed="false">
      <c r="A9" s="2" t="s">
        <v>32</v>
      </c>
      <c r="B9" s="2" t="s">
        <v>12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0" t="n">
        <f aca="false">IF(AG9&lt;&gt;"",AG9,SUM(G9,Q9,V9,Z9,AE9))</f>
        <v>0</v>
      </c>
      <c r="AG9" s="6"/>
      <c r="AH9" s="6"/>
      <c r="AI9" s="6"/>
      <c r="AJ9" s="6"/>
      <c r="AK9" s="6"/>
      <c r="AL9" s="6"/>
    </row>
    <row r="10" customFormat="false" ht="15" hidden="false" customHeight="false" outlineLevel="0" collapsed="false">
      <c r="A10" s="2" t="s">
        <v>33</v>
      </c>
      <c r="B10" s="2" t="s">
        <v>12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0" t="n">
        <f aca="false">IF(AG10&lt;&gt;"",AG10,SUM(G10,Q10,V10,Z10,AE10))</f>
        <v>0</v>
      </c>
      <c r="AG10" s="6"/>
      <c r="AH10" s="6"/>
      <c r="AI10" s="6"/>
      <c r="AJ10" s="6"/>
      <c r="AK10" s="6"/>
      <c r="AL10" s="6"/>
    </row>
    <row r="11" customFormat="false" ht="15" hidden="false" customHeight="false" outlineLevel="0" collapsed="false">
      <c r="A11" s="2" t="s">
        <v>34</v>
      </c>
      <c r="B11" s="2" t="s">
        <v>12</v>
      </c>
      <c r="C11" s="6"/>
      <c r="D11" s="6"/>
      <c r="E11" s="6"/>
      <c r="F11" s="6"/>
      <c r="G11" s="9" t="n">
        <v>20</v>
      </c>
      <c r="H11" s="6"/>
      <c r="I11" s="6"/>
      <c r="J11" s="6"/>
      <c r="K11" s="6"/>
      <c r="L11" s="6"/>
      <c r="M11" s="6"/>
      <c r="N11" s="6"/>
      <c r="O11" s="6"/>
      <c r="P11" s="6"/>
      <c r="Q11" s="9" t="n">
        <v>20</v>
      </c>
      <c r="R11" s="6"/>
      <c r="S11" s="6"/>
      <c r="T11" s="6"/>
      <c r="U11" s="6"/>
      <c r="V11" s="9" t="n">
        <v>20</v>
      </c>
      <c r="W11" s="6"/>
      <c r="X11" s="6"/>
      <c r="Y11" s="6"/>
      <c r="Z11" s="9" t="n">
        <v>20</v>
      </c>
      <c r="AA11" s="6"/>
      <c r="AB11" s="6"/>
      <c r="AC11" s="6"/>
      <c r="AD11" s="6"/>
      <c r="AE11" s="9" t="n">
        <v>20</v>
      </c>
      <c r="AF11" s="10" t="n">
        <f aca="false">IF(AG11&lt;&gt;"",AG11,SUM(G11,Q11,V11,Z11,AE11))</f>
        <v>100</v>
      </c>
      <c r="AG11" s="6"/>
      <c r="AH11" s="6"/>
      <c r="AI11" s="5" t="s">
        <v>358</v>
      </c>
      <c r="AJ11" s="6"/>
      <c r="AK11" s="6"/>
      <c r="AL11" s="6"/>
    </row>
    <row r="12" customFormat="false" ht="15" hidden="false" customHeight="false" outlineLevel="0" collapsed="false">
      <c r="A12" s="2" t="s">
        <v>36</v>
      </c>
      <c r="B12" s="2" t="s">
        <v>12</v>
      </c>
      <c r="C12" s="6"/>
      <c r="D12" s="6"/>
      <c r="E12" s="6"/>
      <c r="F12" s="6"/>
      <c r="G12" s="9" t="n">
        <v>20</v>
      </c>
      <c r="H12" s="6"/>
      <c r="I12" s="6"/>
      <c r="J12" s="6"/>
      <c r="K12" s="6"/>
      <c r="L12" s="6"/>
      <c r="M12" s="6"/>
      <c r="N12" s="6"/>
      <c r="O12" s="6"/>
      <c r="P12" s="6"/>
      <c r="Q12" s="9" t="n">
        <v>20</v>
      </c>
      <c r="R12" s="6"/>
      <c r="S12" s="6"/>
      <c r="T12" s="6"/>
      <c r="U12" s="6"/>
      <c r="V12" s="9" t="n">
        <v>20</v>
      </c>
      <c r="W12" s="6"/>
      <c r="X12" s="6"/>
      <c r="Y12" s="6"/>
      <c r="Z12" s="9" t="n">
        <v>20</v>
      </c>
      <c r="AA12" s="6"/>
      <c r="AB12" s="6"/>
      <c r="AC12" s="6"/>
      <c r="AD12" s="6"/>
      <c r="AE12" s="9" t="n">
        <v>20</v>
      </c>
      <c r="AF12" s="10" t="n">
        <f aca="false">IF(AG12&lt;&gt;"",AG12,SUM(G12,Q12,V12,Z12,AE12))</f>
        <v>100</v>
      </c>
      <c r="AG12" s="6"/>
      <c r="AH12" s="6"/>
      <c r="AI12" s="5" t="s">
        <v>358</v>
      </c>
      <c r="AJ12" s="6"/>
      <c r="AK12" s="6"/>
      <c r="AL12" s="6"/>
    </row>
    <row r="13" customFormat="false" ht="15" hidden="false" customHeight="false" outlineLevel="0" collapsed="false">
      <c r="A13" s="2" t="s">
        <v>37</v>
      </c>
      <c r="B13" s="2" t="s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10" t="n">
        <f aca="false">IF(AG13&lt;&gt;"",AG13,SUM(G13,Q13,V13,Z13,AE13))</f>
        <v>0</v>
      </c>
      <c r="AG13" s="6"/>
      <c r="AH13" s="6"/>
      <c r="AI13" s="6"/>
      <c r="AJ13" s="6"/>
      <c r="AK13" s="6"/>
      <c r="AL13" s="6"/>
    </row>
    <row r="14" customFormat="false" ht="15" hidden="false" customHeight="false" outlineLevel="0" collapsed="false">
      <c r="A14" s="2" t="s">
        <v>39</v>
      </c>
      <c r="B14" s="2" t="s">
        <v>12</v>
      </c>
      <c r="C14" s="6"/>
      <c r="D14" s="6"/>
      <c r="E14" s="6"/>
      <c r="F14" s="6"/>
      <c r="G14" s="9" t="n">
        <v>16</v>
      </c>
      <c r="H14" s="6"/>
      <c r="I14" s="6"/>
      <c r="J14" s="6"/>
      <c r="K14" s="6"/>
      <c r="L14" s="6"/>
      <c r="M14" s="6"/>
      <c r="N14" s="6"/>
      <c r="O14" s="6"/>
      <c r="P14" s="6"/>
      <c r="Q14" s="9" t="n">
        <v>16</v>
      </c>
      <c r="R14" s="6"/>
      <c r="S14" s="6"/>
      <c r="T14" s="6"/>
      <c r="U14" s="6"/>
      <c r="V14" s="9" t="n">
        <v>16</v>
      </c>
      <c r="W14" s="6"/>
      <c r="X14" s="6"/>
      <c r="Y14" s="6"/>
      <c r="Z14" s="9" t="n">
        <v>16</v>
      </c>
      <c r="AA14" s="6"/>
      <c r="AB14" s="6"/>
      <c r="AC14" s="6"/>
      <c r="AD14" s="6"/>
      <c r="AE14" s="9" t="n">
        <v>16</v>
      </c>
      <c r="AF14" s="10" t="n">
        <f aca="false">IF(AG14&lt;&gt;"",AG14,SUM(G14,Q14,V14,Z14,AE14))</f>
        <v>80</v>
      </c>
      <c r="AG14" s="6"/>
      <c r="AH14" s="6"/>
      <c r="AI14" s="5" t="s">
        <v>358</v>
      </c>
      <c r="AJ14" s="6"/>
      <c r="AK14" s="6"/>
      <c r="AL14" s="6"/>
    </row>
    <row r="15" customFormat="false" ht="15" hidden="false" customHeight="false" outlineLevel="0" collapsed="false">
      <c r="A15" s="2" t="s">
        <v>40</v>
      </c>
      <c r="B15" s="2" t="s">
        <v>12</v>
      </c>
      <c r="C15" s="6"/>
      <c r="D15" s="6"/>
      <c r="E15" s="6"/>
      <c r="F15" s="6"/>
      <c r="G15" s="9" t="n">
        <v>16</v>
      </c>
      <c r="H15" s="6"/>
      <c r="I15" s="6"/>
      <c r="J15" s="6"/>
      <c r="K15" s="6"/>
      <c r="L15" s="6"/>
      <c r="M15" s="6"/>
      <c r="N15" s="6"/>
      <c r="O15" s="6"/>
      <c r="P15" s="6"/>
      <c r="Q15" s="9" t="n">
        <v>16</v>
      </c>
      <c r="R15" s="6"/>
      <c r="S15" s="6"/>
      <c r="T15" s="6"/>
      <c r="U15" s="6"/>
      <c r="V15" s="9" t="n">
        <v>16</v>
      </c>
      <c r="W15" s="6"/>
      <c r="X15" s="6"/>
      <c r="Y15" s="6"/>
      <c r="Z15" s="9" t="n">
        <v>16</v>
      </c>
      <c r="AA15" s="6"/>
      <c r="AB15" s="6"/>
      <c r="AC15" s="6"/>
      <c r="AD15" s="6"/>
      <c r="AE15" s="9" t="n">
        <v>16</v>
      </c>
      <c r="AF15" s="10" t="n">
        <f aca="false">IF(AG15&lt;&gt;"",AG15,SUM(G15,Q15,V15,Z15,AE15))</f>
        <v>80</v>
      </c>
      <c r="AG15" s="6"/>
      <c r="AH15" s="6"/>
      <c r="AI15" s="5" t="s">
        <v>358</v>
      </c>
      <c r="AJ15" s="6"/>
      <c r="AK15" s="6"/>
      <c r="AL15" s="6"/>
    </row>
    <row r="16" customFormat="false" ht="15" hidden="false" customHeight="false" outlineLevel="0" collapsed="false">
      <c r="A16" s="2" t="s">
        <v>41</v>
      </c>
      <c r="B16" s="2" t="s">
        <v>12</v>
      </c>
      <c r="C16" s="6"/>
      <c r="D16" s="6"/>
      <c r="E16" s="6"/>
      <c r="F16" s="6"/>
      <c r="G16" s="9" t="n">
        <v>14</v>
      </c>
      <c r="H16" s="6"/>
      <c r="I16" s="6"/>
      <c r="J16" s="6"/>
      <c r="K16" s="6"/>
      <c r="L16" s="6"/>
      <c r="M16" s="6"/>
      <c r="N16" s="6"/>
      <c r="O16" s="6"/>
      <c r="P16" s="6"/>
      <c r="Q16" s="9" t="n">
        <v>14</v>
      </c>
      <c r="R16" s="6"/>
      <c r="S16" s="6"/>
      <c r="T16" s="6"/>
      <c r="U16" s="6"/>
      <c r="V16" s="9" t="n">
        <v>14</v>
      </c>
      <c r="W16" s="6"/>
      <c r="X16" s="6"/>
      <c r="Y16" s="6"/>
      <c r="Z16" s="9" t="n">
        <v>14</v>
      </c>
      <c r="AA16" s="6"/>
      <c r="AB16" s="6"/>
      <c r="AC16" s="6"/>
      <c r="AD16" s="6"/>
      <c r="AE16" s="9" t="n">
        <v>14</v>
      </c>
      <c r="AF16" s="10" t="n">
        <f aca="false">IF(AG16&lt;&gt;"",AG16,SUM(G16,Q16,V16,Z16,AE16))</f>
        <v>70</v>
      </c>
      <c r="AG16" s="6"/>
      <c r="AH16" s="6"/>
      <c r="AI16" s="5" t="s">
        <v>358</v>
      </c>
      <c r="AJ16" s="6"/>
      <c r="AK16" s="6"/>
      <c r="AL16" s="6"/>
    </row>
    <row r="17" customFormat="false" ht="15" hidden="false" customHeight="false" outlineLevel="0" collapsed="false">
      <c r="A17" s="2" t="s">
        <v>43</v>
      </c>
      <c r="B17" s="2" t="s">
        <v>12</v>
      </c>
      <c r="C17" s="6"/>
      <c r="D17" s="6"/>
      <c r="E17" s="6"/>
      <c r="F17" s="6"/>
      <c r="G17" s="9" t="n">
        <v>20</v>
      </c>
      <c r="H17" s="6"/>
      <c r="I17" s="6"/>
      <c r="J17" s="6"/>
      <c r="K17" s="6"/>
      <c r="L17" s="6"/>
      <c r="M17" s="6"/>
      <c r="N17" s="6"/>
      <c r="O17" s="6"/>
      <c r="P17" s="6"/>
      <c r="Q17" s="9" t="n">
        <v>20</v>
      </c>
      <c r="R17" s="6"/>
      <c r="S17" s="6"/>
      <c r="T17" s="6"/>
      <c r="U17" s="6"/>
      <c r="V17" s="9" t="n">
        <v>20</v>
      </c>
      <c r="W17" s="6"/>
      <c r="X17" s="6"/>
      <c r="Y17" s="6"/>
      <c r="Z17" s="9" t="n">
        <v>20</v>
      </c>
      <c r="AA17" s="6"/>
      <c r="AB17" s="6"/>
      <c r="AC17" s="6"/>
      <c r="AD17" s="6"/>
      <c r="AE17" s="9" t="n">
        <v>20</v>
      </c>
      <c r="AF17" s="10" t="n">
        <f aca="false">IF(AG17&lt;&gt;"",AG17,SUM(G17,Q17,V17,Z17,AE17))</f>
        <v>100</v>
      </c>
      <c r="AG17" s="6"/>
      <c r="AH17" s="6"/>
      <c r="AI17" s="5" t="s">
        <v>358</v>
      </c>
      <c r="AJ17" s="6"/>
      <c r="AK17" s="6"/>
      <c r="AL17" s="6"/>
    </row>
    <row r="18" customFormat="false" ht="15" hidden="false" customHeight="false" outlineLevel="0" collapsed="false">
      <c r="A18" s="2" t="s">
        <v>45</v>
      </c>
      <c r="B18" s="2" t="s">
        <v>12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10" t="n">
        <f aca="false">IF(AG18&lt;&gt;"",AG18,SUM(G18,Q18,V18,Z18,AE18))</f>
        <v>0</v>
      </c>
      <c r="AG18" s="6"/>
      <c r="AH18" s="6"/>
      <c r="AI18" s="6"/>
      <c r="AJ18" s="6"/>
      <c r="AK18" s="6"/>
      <c r="AL18" s="6"/>
    </row>
    <row r="19" customFormat="false" ht="15" hidden="false" customHeight="false" outlineLevel="0" collapsed="false">
      <c r="A19" s="2" t="s">
        <v>47</v>
      </c>
      <c r="B19" s="2" t="s">
        <v>12</v>
      </c>
      <c r="C19" s="6"/>
      <c r="D19" s="6"/>
      <c r="E19" s="6"/>
      <c r="F19" s="6"/>
      <c r="G19" s="9" t="n">
        <v>18</v>
      </c>
      <c r="H19" s="6"/>
      <c r="I19" s="6"/>
      <c r="J19" s="6"/>
      <c r="K19" s="6"/>
      <c r="L19" s="6"/>
      <c r="M19" s="6"/>
      <c r="N19" s="6"/>
      <c r="O19" s="6"/>
      <c r="P19" s="6"/>
      <c r="Q19" s="9" t="n">
        <v>18</v>
      </c>
      <c r="R19" s="6"/>
      <c r="S19" s="6"/>
      <c r="T19" s="6"/>
      <c r="U19" s="6"/>
      <c r="V19" s="9" t="n">
        <v>18</v>
      </c>
      <c r="W19" s="6"/>
      <c r="X19" s="6"/>
      <c r="Y19" s="6"/>
      <c r="Z19" s="9" t="n">
        <v>18</v>
      </c>
      <c r="AA19" s="6"/>
      <c r="AB19" s="6"/>
      <c r="AC19" s="6"/>
      <c r="AD19" s="6"/>
      <c r="AE19" s="9" t="n">
        <v>18</v>
      </c>
      <c r="AF19" s="10" t="n">
        <f aca="false">IF(AG19&lt;&gt;"",AG19,SUM(G19,Q19,V19,Z19,AE19))</f>
        <v>90</v>
      </c>
      <c r="AG19" s="6"/>
      <c r="AH19" s="6"/>
      <c r="AI19" s="5" t="s">
        <v>358</v>
      </c>
      <c r="AJ19" s="6"/>
      <c r="AK19" s="6"/>
      <c r="AL19" s="6"/>
    </row>
    <row r="20" customFormat="false" ht="15" hidden="false" customHeight="false" outlineLevel="0" collapsed="false">
      <c r="A20" s="2" t="s">
        <v>48</v>
      </c>
      <c r="B20" s="2" t="s">
        <v>12</v>
      </c>
      <c r="C20" s="6"/>
      <c r="D20" s="6"/>
      <c r="E20" s="6"/>
      <c r="F20" s="6"/>
      <c r="G20" s="9" t="n">
        <v>18</v>
      </c>
      <c r="H20" s="6"/>
      <c r="I20" s="6"/>
      <c r="J20" s="6"/>
      <c r="K20" s="6"/>
      <c r="L20" s="6"/>
      <c r="M20" s="6"/>
      <c r="N20" s="6"/>
      <c r="O20" s="6"/>
      <c r="P20" s="6"/>
      <c r="Q20" s="9" t="n">
        <v>18</v>
      </c>
      <c r="R20" s="6"/>
      <c r="S20" s="6"/>
      <c r="T20" s="6"/>
      <c r="U20" s="6"/>
      <c r="V20" s="9" t="n">
        <v>18</v>
      </c>
      <c r="W20" s="6"/>
      <c r="X20" s="6"/>
      <c r="Y20" s="6"/>
      <c r="Z20" s="9" t="n">
        <v>18</v>
      </c>
      <c r="AA20" s="6"/>
      <c r="AB20" s="6"/>
      <c r="AC20" s="6"/>
      <c r="AD20" s="6"/>
      <c r="AE20" s="9" t="n">
        <v>18</v>
      </c>
      <c r="AF20" s="10" t="n">
        <f aca="false">IF(AG20&lt;&gt;"",AG20,SUM(G20,Q20,V20,Z20,AE20))</f>
        <v>90</v>
      </c>
      <c r="AG20" s="6"/>
      <c r="AH20" s="6"/>
      <c r="AI20" s="5" t="s">
        <v>358</v>
      </c>
      <c r="AJ20" s="6"/>
      <c r="AK20" s="6"/>
      <c r="AL20" s="6"/>
    </row>
    <row r="21" customFormat="false" ht="15" hidden="false" customHeight="false" outlineLevel="0" collapsed="false">
      <c r="A21" s="2" t="s">
        <v>49</v>
      </c>
      <c r="B21" s="2" t="s">
        <v>12</v>
      </c>
      <c r="C21" s="6"/>
      <c r="D21" s="6"/>
      <c r="E21" s="6"/>
      <c r="F21" s="6"/>
      <c r="G21" s="9" t="n">
        <v>18</v>
      </c>
      <c r="H21" s="6"/>
      <c r="I21" s="6"/>
      <c r="J21" s="6"/>
      <c r="K21" s="6"/>
      <c r="L21" s="6"/>
      <c r="M21" s="6"/>
      <c r="N21" s="6"/>
      <c r="O21" s="6"/>
      <c r="P21" s="6"/>
      <c r="Q21" s="9" t="n">
        <v>18</v>
      </c>
      <c r="R21" s="6"/>
      <c r="S21" s="6"/>
      <c r="T21" s="6"/>
      <c r="U21" s="6"/>
      <c r="V21" s="9" t="n">
        <v>18</v>
      </c>
      <c r="W21" s="6"/>
      <c r="X21" s="6"/>
      <c r="Y21" s="6"/>
      <c r="Z21" s="9" t="n">
        <v>18</v>
      </c>
      <c r="AA21" s="6"/>
      <c r="AB21" s="6"/>
      <c r="AC21" s="6"/>
      <c r="AD21" s="6"/>
      <c r="AE21" s="9" t="n">
        <v>18</v>
      </c>
      <c r="AF21" s="10" t="n">
        <f aca="false">IF(AG21&lt;&gt;"",AG21,SUM(G21,Q21,V21,Z21,AE21))</f>
        <v>90</v>
      </c>
      <c r="AG21" s="6"/>
      <c r="AH21" s="6"/>
      <c r="AI21" s="5" t="s">
        <v>358</v>
      </c>
      <c r="AJ21" s="6"/>
      <c r="AK21" s="6"/>
      <c r="AL21" s="6"/>
    </row>
    <row r="22" customFormat="false" ht="15" hidden="false" customHeight="false" outlineLevel="0" collapsed="false">
      <c r="A22" s="2" t="s">
        <v>50</v>
      </c>
      <c r="B22" s="2" t="s">
        <v>12</v>
      </c>
      <c r="C22" s="6"/>
      <c r="D22" s="6"/>
      <c r="E22" s="6"/>
      <c r="F22" s="6"/>
      <c r="G22" s="9" t="n">
        <v>20</v>
      </c>
      <c r="H22" s="6"/>
      <c r="I22" s="6"/>
      <c r="J22" s="6"/>
      <c r="K22" s="6"/>
      <c r="L22" s="6"/>
      <c r="M22" s="6"/>
      <c r="N22" s="6"/>
      <c r="O22" s="6"/>
      <c r="P22" s="6"/>
      <c r="Q22" s="9" t="n">
        <v>20</v>
      </c>
      <c r="R22" s="6"/>
      <c r="S22" s="6"/>
      <c r="T22" s="6"/>
      <c r="U22" s="6"/>
      <c r="V22" s="9" t="n">
        <v>20</v>
      </c>
      <c r="W22" s="6"/>
      <c r="X22" s="6"/>
      <c r="Y22" s="6"/>
      <c r="Z22" s="9" t="n">
        <v>20</v>
      </c>
      <c r="AA22" s="6"/>
      <c r="AB22" s="6"/>
      <c r="AC22" s="6"/>
      <c r="AD22" s="6"/>
      <c r="AE22" s="9" t="n">
        <v>20</v>
      </c>
      <c r="AF22" s="10" t="n">
        <f aca="false">IF(AG22&lt;&gt;"",AG22,SUM(G22,Q22,V22,Z22,AE22))</f>
        <v>100</v>
      </c>
      <c r="AG22" s="6"/>
      <c r="AH22" s="6"/>
      <c r="AI22" s="5" t="s">
        <v>358</v>
      </c>
      <c r="AJ22" s="6"/>
      <c r="AK22" s="6"/>
      <c r="AL22" s="6"/>
    </row>
    <row r="23" customFormat="false" ht="15" hidden="false" customHeight="false" outlineLevel="0" collapsed="false">
      <c r="A23" s="2" t="s">
        <v>51</v>
      </c>
      <c r="B23" s="2" t="s">
        <v>12</v>
      </c>
      <c r="C23" s="6"/>
      <c r="D23" s="6"/>
      <c r="E23" s="6"/>
      <c r="F23" s="6"/>
      <c r="G23" s="9" t="n">
        <v>20</v>
      </c>
      <c r="H23" s="6"/>
      <c r="I23" s="6"/>
      <c r="J23" s="6"/>
      <c r="K23" s="6"/>
      <c r="L23" s="6"/>
      <c r="M23" s="6"/>
      <c r="N23" s="6"/>
      <c r="O23" s="6"/>
      <c r="P23" s="6"/>
      <c r="Q23" s="9" t="n">
        <v>20</v>
      </c>
      <c r="R23" s="6"/>
      <c r="S23" s="6"/>
      <c r="T23" s="6"/>
      <c r="U23" s="6"/>
      <c r="V23" s="9" t="n">
        <v>20</v>
      </c>
      <c r="W23" s="6"/>
      <c r="X23" s="6"/>
      <c r="Y23" s="6"/>
      <c r="Z23" s="9" t="n">
        <v>20</v>
      </c>
      <c r="AA23" s="6"/>
      <c r="AB23" s="6"/>
      <c r="AC23" s="6"/>
      <c r="AD23" s="6"/>
      <c r="AE23" s="9" t="n">
        <v>20</v>
      </c>
      <c r="AF23" s="10" t="n">
        <f aca="false">IF(AG23&lt;&gt;"",AG23,SUM(G23,Q23,V23,Z23,AE23))</f>
        <v>100</v>
      </c>
      <c r="AG23" s="6"/>
      <c r="AH23" s="6"/>
      <c r="AI23" s="5" t="s">
        <v>358</v>
      </c>
      <c r="AJ23" s="6"/>
      <c r="AK23" s="6"/>
      <c r="AL23" s="6"/>
    </row>
    <row r="24" customFormat="false" ht="15" hidden="false" customHeight="false" outlineLevel="0" collapsed="false">
      <c r="A24" s="2" t="s">
        <v>52</v>
      </c>
      <c r="B24" s="2" t="s">
        <v>12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10" t="n">
        <f aca="false">IF(AG24&lt;&gt;"",AG24,SUM(G24,Q24,V24,Z24,AE24))</f>
        <v>0</v>
      </c>
      <c r="AG24" s="6"/>
      <c r="AH24" s="6"/>
      <c r="AI24" s="6"/>
      <c r="AJ24" s="6"/>
      <c r="AK24" s="6"/>
      <c r="AL24" s="6"/>
    </row>
    <row r="25" customFormat="false" ht="15" hidden="false" customHeight="false" outlineLevel="0" collapsed="false">
      <c r="A25" s="2" t="s">
        <v>53</v>
      </c>
      <c r="B25" s="2" t="s">
        <v>12</v>
      </c>
      <c r="C25" s="6"/>
      <c r="D25" s="6"/>
      <c r="E25" s="6"/>
      <c r="F25" s="6"/>
      <c r="G25" s="9" t="n">
        <v>20</v>
      </c>
      <c r="H25" s="6"/>
      <c r="I25" s="6"/>
      <c r="J25" s="6"/>
      <c r="K25" s="6"/>
      <c r="L25" s="6"/>
      <c r="M25" s="6"/>
      <c r="N25" s="6"/>
      <c r="O25" s="6"/>
      <c r="P25" s="6"/>
      <c r="Q25" s="9" t="n">
        <v>20</v>
      </c>
      <c r="R25" s="6"/>
      <c r="S25" s="6"/>
      <c r="T25" s="6"/>
      <c r="U25" s="6"/>
      <c r="V25" s="9" t="n">
        <v>20</v>
      </c>
      <c r="W25" s="6"/>
      <c r="X25" s="6"/>
      <c r="Y25" s="6"/>
      <c r="Z25" s="9" t="n">
        <v>20</v>
      </c>
      <c r="AA25" s="6"/>
      <c r="AB25" s="6"/>
      <c r="AC25" s="6"/>
      <c r="AD25" s="6"/>
      <c r="AE25" s="9" t="n">
        <v>20</v>
      </c>
      <c r="AF25" s="10" t="n">
        <f aca="false">IF(AG25&lt;&gt;"",AG25,SUM(G25,Q25,V25,Z25,AE25))</f>
        <v>100</v>
      </c>
      <c r="AG25" s="6"/>
      <c r="AH25" s="6"/>
      <c r="AI25" s="5" t="s">
        <v>358</v>
      </c>
      <c r="AJ25" s="6"/>
      <c r="AK25" s="6"/>
      <c r="AL25" s="6"/>
    </row>
    <row r="26" customFormat="false" ht="15" hidden="false" customHeight="false" outlineLevel="0" collapsed="false">
      <c r="A26" s="2" t="s">
        <v>54</v>
      </c>
      <c r="B26" s="2" t="s">
        <v>12</v>
      </c>
      <c r="C26" s="6"/>
      <c r="D26" s="6"/>
      <c r="E26" s="6"/>
      <c r="F26" s="6"/>
      <c r="G26" s="9" t="n">
        <v>18</v>
      </c>
      <c r="H26" s="6"/>
      <c r="I26" s="6"/>
      <c r="J26" s="6"/>
      <c r="K26" s="6"/>
      <c r="L26" s="6"/>
      <c r="M26" s="6"/>
      <c r="N26" s="6"/>
      <c r="O26" s="6"/>
      <c r="P26" s="6"/>
      <c r="Q26" s="9" t="n">
        <v>18</v>
      </c>
      <c r="R26" s="6"/>
      <c r="S26" s="6"/>
      <c r="T26" s="6"/>
      <c r="U26" s="6"/>
      <c r="V26" s="9" t="n">
        <v>18</v>
      </c>
      <c r="W26" s="6"/>
      <c r="X26" s="6"/>
      <c r="Y26" s="6"/>
      <c r="Z26" s="9" t="n">
        <v>18</v>
      </c>
      <c r="AA26" s="6"/>
      <c r="AB26" s="6"/>
      <c r="AC26" s="6"/>
      <c r="AD26" s="6"/>
      <c r="AE26" s="9" t="n">
        <v>18</v>
      </c>
      <c r="AF26" s="10" t="n">
        <f aca="false">IF(AG26&lt;&gt;"",AG26,SUM(G26,Q26,V26,Z26,AE26))</f>
        <v>90</v>
      </c>
      <c r="AG26" s="6"/>
      <c r="AH26" s="6"/>
      <c r="AI26" s="5" t="s">
        <v>358</v>
      </c>
      <c r="AJ26" s="6"/>
      <c r="AK26" s="6"/>
      <c r="AL26" s="6"/>
    </row>
    <row r="27" customFormat="false" ht="15" hidden="false" customHeight="false" outlineLevel="0" collapsed="false">
      <c r="A27" s="2" t="s">
        <v>55</v>
      </c>
      <c r="B27" s="2" t="s">
        <v>12</v>
      </c>
      <c r="C27" s="6"/>
      <c r="D27" s="6"/>
      <c r="E27" s="6"/>
      <c r="F27" s="6"/>
      <c r="G27" s="9" t="n">
        <v>18</v>
      </c>
      <c r="H27" s="6"/>
      <c r="I27" s="6"/>
      <c r="J27" s="6"/>
      <c r="K27" s="6"/>
      <c r="L27" s="6"/>
      <c r="M27" s="6"/>
      <c r="N27" s="6"/>
      <c r="O27" s="6"/>
      <c r="P27" s="6"/>
      <c r="Q27" s="9" t="n">
        <v>18</v>
      </c>
      <c r="R27" s="6"/>
      <c r="S27" s="6"/>
      <c r="T27" s="6"/>
      <c r="U27" s="6"/>
      <c r="V27" s="9" t="n">
        <v>18</v>
      </c>
      <c r="W27" s="6"/>
      <c r="X27" s="6"/>
      <c r="Y27" s="6"/>
      <c r="Z27" s="9" t="n">
        <v>18</v>
      </c>
      <c r="AA27" s="6"/>
      <c r="AB27" s="6"/>
      <c r="AC27" s="6"/>
      <c r="AD27" s="6"/>
      <c r="AE27" s="9" t="n">
        <v>18</v>
      </c>
      <c r="AF27" s="10" t="n">
        <f aca="false">IF(AG27&lt;&gt;"",AG27,SUM(G27,Q27,V27,Z27,AE27))</f>
        <v>90</v>
      </c>
      <c r="AG27" s="6"/>
      <c r="AH27" s="6"/>
      <c r="AI27" s="5" t="s">
        <v>358</v>
      </c>
      <c r="AJ27" s="6"/>
      <c r="AK27" s="6"/>
      <c r="AL27" s="6"/>
    </row>
    <row r="28" customFormat="false" ht="15" hidden="false" customHeight="false" outlineLevel="0" collapsed="false">
      <c r="A28" s="2" t="s">
        <v>57</v>
      </c>
      <c r="B28" s="2" t="s">
        <v>12</v>
      </c>
      <c r="C28" s="6"/>
      <c r="D28" s="6"/>
      <c r="E28" s="6"/>
      <c r="F28" s="6"/>
      <c r="G28" s="9" t="n">
        <v>18</v>
      </c>
      <c r="H28" s="6"/>
      <c r="I28" s="6"/>
      <c r="J28" s="6"/>
      <c r="K28" s="6"/>
      <c r="L28" s="6"/>
      <c r="M28" s="6"/>
      <c r="N28" s="6"/>
      <c r="O28" s="6"/>
      <c r="P28" s="6"/>
      <c r="Q28" s="9" t="n">
        <v>18</v>
      </c>
      <c r="R28" s="6"/>
      <c r="S28" s="6"/>
      <c r="T28" s="6"/>
      <c r="U28" s="6"/>
      <c r="V28" s="9" t="n">
        <v>18</v>
      </c>
      <c r="W28" s="6"/>
      <c r="X28" s="6"/>
      <c r="Y28" s="6"/>
      <c r="Z28" s="9" t="n">
        <v>18</v>
      </c>
      <c r="AA28" s="6"/>
      <c r="AB28" s="6"/>
      <c r="AC28" s="6"/>
      <c r="AD28" s="6"/>
      <c r="AE28" s="9" t="n">
        <v>18</v>
      </c>
      <c r="AF28" s="10" t="n">
        <f aca="false">IF(AG28&lt;&gt;"",AG28,SUM(G28,Q28,V28,Z28,AE28))</f>
        <v>90</v>
      </c>
      <c r="AG28" s="6"/>
      <c r="AH28" s="6"/>
      <c r="AI28" s="5" t="s">
        <v>358</v>
      </c>
      <c r="AJ28" s="6"/>
      <c r="AK28" s="6"/>
      <c r="AL28" s="6"/>
    </row>
    <row r="29" customFormat="false" ht="15" hidden="false" customHeight="false" outlineLevel="0" collapsed="false">
      <c r="A29" s="2" t="s">
        <v>58</v>
      </c>
      <c r="B29" s="2" t="s">
        <v>12</v>
      </c>
      <c r="C29" s="6"/>
      <c r="D29" s="6"/>
      <c r="E29" s="6"/>
      <c r="F29" s="6"/>
      <c r="G29" s="9" t="n">
        <v>16</v>
      </c>
      <c r="H29" s="6"/>
      <c r="I29" s="6"/>
      <c r="J29" s="6"/>
      <c r="K29" s="6"/>
      <c r="L29" s="6"/>
      <c r="M29" s="6"/>
      <c r="N29" s="6"/>
      <c r="O29" s="6"/>
      <c r="P29" s="6"/>
      <c r="Q29" s="9" t="n">
        <v>16</v>
      </c>
      <c r="R29" s="6"/>
      <c r="S29" s="6"/>
      <c r="T29" s="6"/>
      <c r="U29" s="6"/>
      <c r="V29" s="9" t="n">
        <v>16</v>
      </c>
      <c r="W29" s="6"/>
      <c r="X29" s="6"/>
      <c r="Y29" s="6"/>
      <c r="Z29" s="9" t="n">
        <v>16</v>
      </c>
      <c r="AA29" s="6"/>
      <c r="AB29" s="6"/>
      <c r="AC29" s="6"/>
      <c r="AD29" s="6"/>
      <c r="AE29" s="9" t="n">
        <v>16</v>
      </c>
      <c r="AF29" s="10" t="n">
        <f aca="false">IF(AG29&lt;&gt;"",AG29,SUM(G29,Q29,V29,Z29,AE29))</f>
        <v>80</v>
      </c>
      <c r="AG29" s="6"/>
      <c r="AH29" s="6"/>
      <c r="AI29" s="5" t="s">
        <v>358</v>
      </c>
      <c r="AJ29" s="6"/>
      <c r="AK29" s="6"/>
      <c r="AL29" s="6"/>
    </row>
    <row r="30" customFormat="false" ht="15" hidden="false" customHeight="false" outlineLevel="0" collapsed="false">
      <c r="A30" s="2" t="s">
        <v>59</v>
      </c>
      <c r="B30" s="2" t="s">
        <v>12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10" t="n">
        <f aca="false">IF(AG30&lt;&gt;"",AG30,SUM(G30,Q30,V30,Z30,AE30))</f>
        <v>0</v>
      </c>
      <c r="AG30" s="6"/>
      <c r="AH30" s="6"/>
      <c r="AI30" s="6"/>
      <c r="AJ30" s="6"/>
      <c r="AK30" s="6"/>
      <c r="AL30" s="6"/>
    </row>
    <row r="31" customFormat="false" ht="15" hidden="false" customHeight="false" outlineLevel="0" collapsed="false">
      <c r="A31" s="2" t="s">
        <v>60</v>
      </c>
      <c r="B31" s="2" t="s">
        <v>12</v>
      </c>
      <c r="C31" s="6"/>
      <c r="D31" s="6"/>
      <c r="E31" s="6"/>
      <c r="F31" s="6"/>
      <c r="G31" s="9" t="n">
        <v>16</v>
      </c>
      <c r="H31" s="6"/>
      <c r="I31" s="6"/>
      <c r="J31" s="6"/>
      <c r="K31" s="6"/>
      <c r="L31" s="6"/>
      <c r="M31" s="6"/>
      <c r="N31" s="6"/>
      <c r="O31" s="6"/>
      <c r="P31" s="6"/>
      <c r="Q31" s="9" t="n">
        <v>16</v>
      </c>
      <c r="R31" s="6"/>
      <c r="S31" s="6"/>
      <c r="T31" s="6"/>
      <c r="U31" s="6"/>
      <c r="V31" s="9" t="n">
        <v>16</v>
      </c>
      <c r="W31" s="6"/>
      <c r="X31" s="6"/>
      <c r="Y31" s="6"/>
      <c r="Z31" s="9" t="n">
        <v>16</v>
      </c>
      <c r="AA31" s="6"/>
      <c r="AB31" s="6"/>
      <c r="AC31" s="6"/>
      <c r="AD31" s="6"/>
      <c r="AE31" s="9" t="n">
        <v>16</v>
      </c>
      <c r="AF31" s="10" t="n">
        <f aca="false">IF(AG31&lt;&gt;"",AG31,SUM(G31,Q31,V31,Z31,AE31))</f>
        <v>80</v>
      </c>
      <c r="AG31" s="6"/>
      <c r="AH31" s="6"/>
      <c r="AI31" s="5" t="s">
        <v>358</v>
      </c>
      <c r="AJ31" s="6"/>
      <c r="AK31" s="6"/>
      <c r="AL31" s="6"/>
    </row>
    <row r="32" customFormat="false" ht="15" hidden="false" customHeight="false" outlineLevel="0" collapsed="false">
      <c r="A32" s="2" t="s">
        <v>61</v>
      </c>
      <c r="B32" s="2" t="s">
        <v>12</v>
      </c>
      <c r="C32" s="6"/>
      <c r="D32" s="6"/>
      <c r="E32" s="6"/>
      <c r="F32" s="6"/>
      <c r="G32" s="9" t="n">
        <v>18</v>
      </c>
      <c r="H32" s="6"/>
      <c r="I32" s="6"/>
      <c r="J32" s="6"/>
      <c r="K32" s="6"/>
      <c r="L32" s="6"/>
      <c r="M32" s="6"/>
      <c r="N32" s="6"/>
      <c r="O32" s="6"/>
      <c r="P32" s="6"/>
      <c r="Q32" s="9" t="n">
        <v>18</v>
      </c>
      <c r="R32" s="6"/>
      <c r="S32" s="6"/>
      <c r="T32" s="6"/>
      <c r="U32" s="6"/>
      <c r="V32" s="9" t="n">
        <v>18</v>
      </c>
      <c r="W32" s="6"/>
      <c r="X32" s="6"/>
      <c r="Y32" s="6"/>
      <c r="Z32" s="9" t="n">
        <v>18</v>
      </c>
      <c r="AA32" s="6"/>
      <c r="AB32" s="6"/>
      <c r="AC32" s="6"/>
      <c r="AD32" s="6"/>
      <c r="AE32" s="9" t="n">
        <v>18</v>
      </c>
      <c r="AF32" s="10" t="n">
        <f aca="false">IF(AG32&lt;&gt;"",AG32,SUM(G32,Q32,V32,Z32,AE32))</f>
        <v>90</v>
      </c>
      <c r="AG32" s="6"/>
      <c r="AH32" s="6"/>
      <c r="AI32" s="5" t="s">
        <v>358</v>
      </c>
      <c r="AJ32" s="6"/>
      <c r="AK32" s="6"/>
      <c r="AL32" s="6"/>
    </row>
    <row r="33" customFormat="false" ht="15" hidden="false" customHeight="false" outlineLevel="0" collapsed="false">
      <c r="A33" s="2" t="s">
        <v>62</v>
      </c>
      <c r="B33" s="2" t="s">
        <v>12</v>
      </c>
      <c r="C33" s="6"/>
      <c r="D33" s="6"/>
      <c r="E33" s="6"/>
      <c r="F33" s="6"/>
      <c r="G33" s="9" t="n">
        <v>18</v>
      </c>
      <c r="H33" s="6"/>
      <c r="I33" s="6"/>
      <c r="J33" s="6"/>
      <c r="K33" s="6"/>
      <c r="L33" s="6"/>
      <c r="M33" s="6"/>
      <c r="N33" s="6"/>
      <c r="O33" s="6"/>
      <c r="P33" s="6"/>
      <c r="Q33" s="9" t="n">
        <v>18</v>
      </c>
      <c r="R33" s="6"/>
      <c r="S33" s="6"/>
      <c r="T33" s="6"/>
      <c r="U33" s="6"/>
      <c r="V33" s="9" t="n">
        <v>18</v>
      </c>
      <c r="W33" s="6"/>
      <c r="X33" s="6"/>
      <c r="Y33" s="6"/>
      <c r="Z33" s="9" t="n">
        <v>18</v>
      </c>
      <c r="AA33" s="6"/>
      <c r="AB33" s="6"/>
      <c r="AC33" s="6"/>
      <c r="AD33" s="6"/>
      <c r="AE33" s="9" t="n">
        <v>18</v>
      </c>
      <c r="AF33" s="10" t="n">
        <f aca="false">IF(AG33&lt;&gt;"",AG33,SUM(G33,Q33,V33,Z33,AE33))</f>
        <v>90</v>
      </c>
      <c r="AG33" s="6"/>
      <c r="AH33" s="6"/>
      <c r="AI33" s="5" t="s">
        <v>358</v>
      </c>
      <c r="AJ33" s="6"/>
      <c r="AK33" s="6"/>
      <c r="AL33" s="6"/>
    </row>
    <row r="34" customFormat="false" ht="15" hidden="false" customHeight="false" outlineLevel="0" collapsed="false">
      <c r="A34" s="2" t="s">
        <v>63</v>
      </c>
      <c r="B34" s="2" t="s">
        <v>12</v>
      </c>
      <c r="C34" s="6"/>
      <c r="D34" s="6"/>
      <c r="E34" s="6"/>
      <c r="F34" s="6"/>
      <c r="G34" s="9" t="n">
        <v>18</v>
      </c>
      <c r="H34" s="6"/>
      <c r="I34" s="6"/>
      <c r="J34" s="6"/>
      <c r="K34" s="6"/>
      <c r="L34" s="6"/>
      <c r="M34" s="6"/>
      <c r="N34" s="6"/>
      <c r="O34" s="6"/>
      <c r="P34" s="6"/>
      <c r="Q34" s="9" t="n">
        <v>18</v>
      </c>
      <c r="R34" s="6"/>
      <c r="S34" s="6"/>
      <c r="T34" s="6"/>
      <c r="U34" s="6"/>
      <c r="V34" s="9" t="n">
        <v>18</v>
      </c>
      <c r="W34" s="6"/>
      <c r="X34" s="6"/>
      <c r="Y34" s="6"/>
      <c r="Z34" s="9" t="n">
        <v>18</v>
      </c>
      <c r="AA34" s="6"/>
      <c r="AB34" s="6"/>
      <c r="AC34" s="6"/>
      <c r="AD34" s="6"/>
      <c r="AE34" s="9" t="n">
        <v>18</v>
      </c>
      <c r="AF34" s="10" t="n">
        <f aca="false">IF(AG34&lt;&gt;"",AG34,SUM(G34,Q34,V34,Z34,AE34))</f>
        <v>90</v>
      </c>
      <c r="AG34" s="6"/>
      <c r="AH34" s="6"/>
      <c r="AI34" s="5" t="s">
        <v>358</v>
      </c>
      <c r="AJ34" s="6"/>
      <c r="AK34" s="6"/>
      <c r="AL34" s="6"/>
    </row>
    <row r="35" customFormat="false" ht="15" hidden="false" customHeight="false" outlineLevel="0" collapsed="false">
      <c r="A35" s="2" t="s">
        <v>64</v>
      </c>
      <c r="B35" s="2" t="s">
        <v>12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10" t="n">
        <f aca="false">IF(AG35&lt;&gt;"",AG35,SUM(G35,Q35,V35,Z35,AE35))</f>
        <v>0</v>
      </c>
      <c r="AG35" s="6"/>
      <c r="AH35" s="6"/>
      <c r="AI35" s="6"/>
      <c r="AJ35" s="6"/>
      <c r="AK35" s="6"/>
      <c r="AL35" s="6"/>
    </row>
    <row r="36" customFormat="false" ht="15" hidden="false" customHeight="false" outlineLevel="0" collapsed="false">
      <c r="A36" s="2" t="s">
        <v>65</v>
      </c>
      <c r="B36" s="2" t="s">
        <v>12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10" t="n">
        <f aca="false">IF(AG36&lt;&gt;"",AG36,SUM(G36,Q36,V36,Z36,AE36))</f>
        <v>0</v>
      </c>
      <c r="AG36" s="6"/>
      <c r="AH36" s="6"/>
      <c r="AI36" s="6"/>
      <c r="AJ36" s="6"/>
      <c r="AK36" s="6"/>
      <c r="AL36" s="6"/>
    </row>
    <row r="37" customFormat="false" ht="15" hidden="false" customHeight="false" outlineLevel="0" collapsed="false">
      <c r="A37" s="2" t="s">
        <v>67</v>
      </c>
      <c r="B37" s="2" t="s">
        <v>12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10" t="n">
        <f aca="false">IF(AG37&lt;&gt;"",AG37,SUM(G37,Q37,V37,Z37,AE37))</f>
        <v>0</v>
      </c>
      <c r="AG37" s="6"/>
      <c r="AH37" s="6"/>
      <c r="AI37" s="6"/>
      <c r="AJ37" s="6"/>
      <c r="AK37" s="6"/>
      <c r="AL37" s="6"/>
    </row>
    <row r="38" customFormat="false" ht="15" hidden="false" customHeight="false" outlineLevel="0" collapsed="false">
      <c r="A38" s="2" t="s">
        <v>69</v>
      </c>
      <c r="B38" s="2" t="s">
        <v>12</v>
      </c>
      <c r="C38" s="6"/>
      <c r="D38" s="6"/>
      <c r="E38" s="6"/>
      <c r="F38" s="6"/>
      <c r="G38" s="9" t="n">
        <v>20</v>
      </c>
      <c r="H38" s="6"/>
      <c r="I38" s="6"/>
      <c r="J38" s="6"/>
      <c r="K38" s="6"/>
      <c r="L38" s="6"/>
      <c r="M38" s="6"/>
      <c r="N38" s="6"/>
      <c r="O38" s="6"/>
      <c r="P38" s="6"/>
      <c r="Q38" s="9" t="n">
        <v>20</v>
      </c>
      <c r="R38" s="6"/>
      <c r="S38" s="6"/>
      <c r="T38" s="6"/>
      <c r="U38" s="6"/>
      <c r="V38" s="9" t="n">
        <v>20</v>
      </c>
      <c r="W38" s="6"/>
      <c r="X38" s="6"/>
      <c r="Y38" s="6"/>
      <c r="Z38" s="9" t="n">
        <v>20</v>
      </c>
      <c r="AA38" s="6"/>
      <c r="AB38" s="6"/>
      <c r="AC38" s="6"/>
      <c r="AD38" s="6"/>
      <c r="AE38" s="9" t="n">
        <v>20</v>
      </c>
      <c r="AF38" s="10" t="n">
        <f aca="false">IF(AG38&lt;&gt;"",AG38,SUM(G38,Q38,V38,Z38,AE38))</f>
        <v>100</v>
      </c>
      <c r="AG38" s="6"/>
      <c r="AH38" s="6"/>
      <c r="AI38" s="5" t="s">
        <v>358</v>
      </c>
      <c r="AJ38" s="6"/>
      <c r="AK38" s="6"/>
      <c r="AL38" s="6"/>
    </row>
    <row r="39" customFormat="false" ht="15" hidden="false" customHeight="false" outlineLevel="0" collapsed="false">
      <c r="A39" s="2" t="s">
        <v>70</v>
      </c>
      <c r="B39" s="2" t="s">
        <v>12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0" t="n">
        <f aca="false">IF(AG39&lt;&gt;"",AG39,SUM(G39,Q39,V39,Z39,AE39))</f>
        <v>0</v>
      </c>
      <c r="AG39" s="6"/>
      <c r="AH39" s="6"/>
      <c r="AI39" s="6"/>
      <c r="AJ39" s="6"/>
      <c r="AK39" s="6"/>
      <c r="AL39" s="6"/>
    </row>
    <row r="40" customFormat="false" ht="15" hidden="false" customHeight="false" outlineLevel="0" collapsed="false">
      <c r="A40" s="2" t="s">
        <v>71</v>
      </c>
      <c r="B40" s="2" t="s">
        <v>12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0" t="n">
        <f aca="false">IF(AG40&lt;&gt;"",AG40,SUM(G40,Q40,V40,Z40,AE40))</f>
        <v>0</v>
      </c>
      <c r="AG40" s="6"/>
      <c r="AH40" s="6"/>
      <c r="AI40" s="6"/>
      <c r="AJ40" s="6"/>
      <c r="AK40" s="6"/>
      <c r="AL40" s="6"/>
    </row>
    <row r="41" customFormat="false" ht="15" hidden="false" customHeight="false" outlineLevel="0" collapsed="false">
      <c r="A41" s="2" t="s">
        <v>73</v>
      </c>
      <c r="B41" s="2" t="s">
        <v>12</v>
      </c>
      <c r="C41" s="6"/>
      <c r="D41" s="6"/>
      <c r="E41" s="6"/>
      <c r="F41" s="6"/>
      <c r="G41" s="9" t="n">
        <v>20</v>
      </c>
      <c r="H41" s="6"/>
      <c r="I41" s="6"/>
      <c r="J41" s="6"/>
      <c r="K41" s="6"/>
      <c r="L41" s="6"/>
      <c r="M41" s="6"/>
      <c r="N41" s="6"/>
      <c r="O41" s="6"/>
      <c r="P41" s="6"/>
      <c r="Q41" s="9" t="n">
        <v>20</v>
      </c>
      <c r="R41" s="6"/>
      <c r="S41" s="6"/>
      <c r="T41" s="6"/>
      <c r="U41" s="6"/>
      <c r="V41" s="9" t="n">
        <v>20</v>
      </c>
      <c r="W41" s="6"/>
      <c r="X41" s="6"/>
      <c r="Y41" s="6"/>
      <c r="Z41" s="9" t="n">
        <v>20</v>
      </c>
      <c r="AA41" s="6"/>
      <c r="AB41" s="6"/>
      <c r="AC41" s="6"/>
      <c r="AD41" s="6"/>
      <c r="AE41" s="9" t="n">
        <v>20</v>
      </c>
      <c r="AF41" s="10" t="n">
        <f aca="false">IF(AG41&lt;&gt;"",AG41,SUM(G41,Q41,V41,Z41,AE41))</f>
        <v>100</v>
      </c>
      <c r="AG41" s="6"/>
      <c r="AH41" s="6"/>
      <c r="AI41" s="5" t="s">
        <v>358</v>
      </c>
      <c r="AJ41" s="6"/>
      <c r="AK41" s="6"/>
      <c r="AL41" s="6"/>
    </row>
    <row r="42" customFormat="false" ht="15" hidden="false" customHeight="false" outlineLevel="0" collapsed="false">
      <c r="A42" s="2" t="s">
        <v>74</v>
      </c>
      <c r="B42" s="2" t="s">
        <v>12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10" t="n">
        <f aca="false">IF(AG42&lt;&gt;"",AG42,SUM(G42,Q42,V42,Z42,AE42))</f>
        <v>0</v>
      </c>
      <c r="AG42" s="6"/>
      <c r="AH42" s="6"/>
      <c r="AI42" s="6"/>
      <c r="AJ42" s="6"/>
      <c r="AK42" s="6"/>
      <c r="AL42" s="6"/>
    </row>
    <row r="43" customFormat="false" ht="15" hidden="false" customHeight="false" outlineLevel="0" collapsed="false">
      <c r="A43" s="2" t="s">
        <v>75</v>
      </c>
      <c r="B43" s="2" t="s">
        <v>12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10" t="n">
        <f aca="false">IF(AG43&lt;&gt;"",AG43,SUM(G43,Q43,V43,Z43,AE43))</f>
        <v>0</v>
      </c>
      <c r="AG43" s="6"/>
      <c r="AH43" s="6"/>
      <c r="AI43" s="6"/>
      <c r="AJ43" s="6"/>
      <c r="AK43" s="6"/>
      <c r="AL43" s="6"/>
    </row>
    <row r="44" customFormat="false" ht="15" hidden="false" customHeight="false" outlineLevel="0" collapsed="false">
      <c r="A44" s="2" t="s">
        <v>77</v>
      </c>
      <c r="B44" s="2" t="s">
        <v>12</v>
      </c>
      <c r="C44" s="6"/>
      <c r="D44" s="6"/>
      <c r="E44" s="6"/>
      <c r="F44" s="6"/>
      <c r="G44" s="9" t="n">
        <v>20</v>
      </c>
      <c r="H44" s="6"/>
      <c r="I44" s="6"/>
      <c r="J44" s="6"/>
      <c r="K44" s="6"/>
      <c r="L44" s="6"/>
      <c r="M44" s="6"/>
      <c r="N44" s="6"/>
      <c r="O44" s="6"/>
      <c r="P44" s="6"/>
      <c r="Q44" s="9" t="n">
        <v>20</v>
      </c>
      <c r="R44" s="6"/>
      <c r="S44" s="6"/>
      <c r="T44" s="6"/>
      <c r="U44" s="6"/>
      <c r="V44" s="9" t="n">
        <v>20</v>
      </c>
      <c r="W44" s="6"/>
      <c r="X44" s="6"/>
      <c r="Y44" s="6"/>
      <c r="Z44" s="9" t="n">
        <v>20</v>
      </c>
      <c r="AA44" s="6"/>
      <c r="AB44" s="6"/>
      <c r="AC44" s="6"/>
      <c r="AD44" s="6"/>
      <c r="AE44" s="9" t="n">
        <v>20</v>
      </c>
      <c r="AF44" s="10" t="n">
        <f aca="false">IF(AG44&lt;&gt;"",AG44,SUM(G44,Q44,V44,Z44,AE44))</f>
        <v>100</v>
      </c>
      <c r="AG44" s="6"/>
      <c r="AH44" s="6"/>
      <c r="AI44" s="5" t="s">
        <v>358</v>
      </c>
      <c r="AJ44" s="6"/>
      <c r="AK44" s="6"/>
      <c r="AL44" s="6"/>
    </row>
    <row r="45" customFormat="false" ht="15" hidden="false" customHeight="false" outlineLevel="0" collapsed="false">
      <c r="A45" s="2" t="s">
        <v>78</v>
      </c>
      <c r="B45" s="2" t="s">
        <v>12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10" t="n">
        <f aca="false">IF(AG45&lt;&gt;"",AG45,SUM(G45,Q45,V45,Z45,AE45))</f>
        <v>0</v>
      </c>
      <c r="AG45" s="6"/>
      <c r="AH45" s="6"/>
      <c r="AI45" s="6"/>
      <c r="AJ45" s="6"/>
      <c r="AK45" s="6"/>
      <c r="AL45" s="6"/>
    </row>
    <row r="46" customFormat="false" ht="15" hidden="false" customHeight="false" outlineLevel="0" collapsed="false">
      <c r="A46" s="2" t="s">
        <v>80</v>
      </c>
      <c r="B46" s="2" t="s">
        <v>12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10" t="n">
        <f aca="false">IF(AG46&lt;&gt;"",AG46,SUM(G46,Q46,V46,Z46,AE46))</f>
        <v>0</v>
      </c>
      <c r="AG46" s="6"/>
      <c r="AH46" s="6"/>
      <c r="AI46" s="6"/>
      <c r="AJ46" s="6"/>
      <c r="AK46" s="6"/>
      <c r="AL46" s="6"/>
    </row>
    <row r="47" customFormat="false" ht="15" hidden="false" customHeight="false" outlineLevel="0" collapsed="false">
      <c r="A47" s="2" t="s">
        <v>81</v>
      </c>
      <c r="B47" s="2" t="s">
        <v>12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10" t="n">
        <f aca="false">IF(AG47&lt;&gt;"",AG47,SUM(G47,Q47,V47,Z47,AE47))</f>
        <v>0</v>
      </c>
      <c r="AG47" s="6"/>
      <c r="AH47" s="6"/>
      <c r="AI47" s="6"/>
      <c r="AJ47" s="6"/>
      <c r="AK47" s="6"/>
      <c r="AL47" s="6"/>
    </row>
    <row r="48" customFormat="false" ht="15" hidden="false" customHeight="false" outlineLevel="0" collapsed="false">
      <c r="A48" s="2" t="s">
        <v>82</v>
      </c>
      <c r="B48" s="2" t="s">
        <v>12</v>
      </c>
      <c r="C48" s="6"/>
      <c r="D48" s="6"/>
      <c r="E48" s="6"/>
      <c r="F48" s="6"/>
      <c r="G48" s="9" t="n">
        <v>16</v>
      </c>
      <c r="H48" s="6"/>
      <c r="I48" s="6"/>
      <c r="J48" s="6"/>
      <c r="K48" s="6"/>
      <c r="L48" s="6"/>
      <c r="M48" s="6"/>
      <c r="N48" s="6"/>
      <c r="O48" s="6"/>
      <c r="P48" s="6"/>
      <c r="Q48" s="9" t="n">
        <v>16</v>
      </c>
      <c r="R48" s="6"/>
      <c r="S48" s="6"/>
      <c r="T48" s="6"/>
      <c r="U48" s="6"/>
      <c r="V48" s="9" t="n">
        <v>16</v>
      </c>
      <c r="W48" s="6"/>
      <c r="X48" s="6"/>
      <c r="Y48" s="6"/>
      <c r="Z48" s="9" t="n">
        <v>16</v>
      </c>
      <c r="AA48" s="6"/>
      <c r="AB48" s="6"/>
      <c r="AC48" s="6"/>
      <c r="AD48" s="6"/>
      <c r="AE48" s="9" t="n">
        <v>16</v>
      </c>
      <c r="AF48" s="10" t="n">
        <f aca="false">IF(AG48&lt;&gt;"",AG48,SUM(G48,Q48,V48,Z48,AE48))</f>
        <v>80</v>
      </c>
      <c r="AG48" s="6"/>
      <c r="AH48" s="6"/>
      <c r="AI48" s="5" t="s">
        <v>358</v>
      </c>
      <c r="AJ48" s="6"/>
      <c r="AK48" s="6"/>
      <c r="AL48" s="6"/>
    </row>
    <row r="49" customFormat="false" ht="15" hidden="false" customHeight="false" outlineLevel="0" collapsed="false">
      <c r="A49" s="2" t="s">
        <v>83</v>
      </c>
      <c r="B49" s="2" t="s">
        <v>12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10" t="n">
        <f aca="false">IF(AG49&lt;&gt;"",AG49,SUM(G49,Q49,V49,Z49,AE49))</f>
        <v>0</v>
      </c>
      <c r="AG49" s="6"/>
      <c r="AH49" s="6"/>
      <c r="AI49" s="6"/>
      <c r="AJ49" s="6"/>
      <c r="AK49" s="6"/>
      <c r="AL49" s="6"/>
    </row>
    <row r="50" customFormat="false" ht="15" hidden="false" customHeight="false" outlineLevel="0" collapsed="false">
      <c r="A50" s="2" t="s">
        <v>84</v>
      </c>
      <c r="B50" s="2" t="s">
        <v>12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10" t="n">
        <f aca="false">IF(AG50&lt;&gt;"",AG50,SUM(G50,Q50,V50,Z50,AE50))</f>
        <v>0</v>
      </c>
      <c r="AG50" s="6"/>
      <c r="AH50" s="6"/>
      <c r="AI50" s="6"/>
      <c r="AJ50" s="6"/>
      <c r="AK50" s="6"/>
      <c r="AL50" s="6"/>
    </row>
    <row r="51" customFormat="false" ht="15" hidden="false" customHeight="false" outlineLevel="0" collapsed="false">
      <c r="A51" s="2" t="s">
        <v>86</v>
      </c>
      <c r="B51" s="2" t="s">
        <v>12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10" t="n">
        <f aca="false">IF(AG51&lt;&gt;"",AG51,SUM(G51,Q51,V51,Z51,AE51))</f>
        <v>0</v>
      </c>
      <c r="AG51" s="6"/>
      <c r="AH51" s="6"/>
      <c r="AI51" s="6"/>
      <c r="AJ51" s="6"/>
      <c r="AK51" s="6"/>
      <c r="AL51" s="6"/>
    </row>
    <row r="52" customFormat="false" ht="15" hidden="false" customHeight="false" outlineLevel="0" collapsed="false">
      <c r="A52" s="2" t="s">
        <v>66</v>
      </c>
      <c r="B52" s="2" t="s">
        <v>12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10" t="n">
        <f aca="false">IF(AG52&lt;&gt;"",AG52,SUM(G52,Q52,V52,Z52,AE52))</f>
        <v>0</v>
      </c>
      <c r="AG52" s="6"/>
      <c r="AH52" s="6"/>
      <c r="AI52" s="6"/>
      <c r="AJ52" s="6"/>
      <c r="AK52" s="6"/>
      <c r="AL52" s="6"/>
    </row>
    <row r="53" customFormat="false" ht="15" hidden="false" customHeight="false" outlineLevel="0" collapsed="false">
      <c r="A53" s="2" t="s">
        <v>88</v>
      </c>
      <c r="B53" s="2" t="s">
        <v>12</v>
      </c>
      <c r="C53" s="6"/>
      <c r="D53" s="6"/>
      <c r="E53" s="6"/>
      <c r="F53" s="6"/>
      <c r="G53" s="9" t="n">
        <v>20</v>
      </c>
      <c r="H53" s="6"/>
      <c r="I53" s="6"/>
      <c r="J53" s="6"/>
      <c r="K53" s="6"/>
      <c r="L53" s="6"/>
      <c r="M53" s="6"/>
      <c r="N53" s="6"/>
      <c r="O53" s="6"/>
      <c r="P53" s="6"/>
      <c r="Q53" s="9" t="n">
        <v>20</v>
      </c>
      <c r="R53" s="6"/>
      <c r="S53" s="6"/>
      <c r="T53" s="6"/>
      <c r="U53" s="6"/>
      <c r="V53" s="9" t="n">
        <v>20</v>
      </c>
      <c r="W53" s="6"/>
      <c r="X53" s="6"/>
      <c r="Y53" s="6"/>
      <c r="Z53" s="9" t="n">
        <v>20</v>
      </c>
      <c r="AA53" s="6"/>
      <c r="AB53" s="6"/>
      <c r="AC53" s="6"/>
      <c r="AD53" s="6"/>
      <c r="AE53" s="9" t="n">
        <v>20</v>
      </c>
      <c r="AF53" s="10" t="n">
        <f aca="false">IF(AG53&lt;&gt;"",AG53,SUM(G53,Q53,V53,Z53,AE53))</f>
        <v>100</v>
      </c>
      <c r="AG53" s="6"/>
      <c r="AH53" s="6"/>
      <c r="AI53" s="5" t="s">
        <v>358</v>
      </c>
      <c r="AJ53" s="6"/>
      <c r="AK53" s="6"/>
      <c r="AL53" s="6"/>
    </row>
    <row r="54" customFormat="false" ht="15" hidden="false" customHeight="false" outlineLevel="0" collapsed="false">
      <c r="A54" s="2" t="s">
        <v>89</v>
      </c>
      <c r="B54" s="2" t="s">
        <v>12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0" t="n">
        <f aca="false">IF(AG54&lt;&gt;"",AG54,SUM(G54,Q54,V54,Z54,AE54))</f>
        <v>0</v>
      </c>
      <c r="AG54" s="6"/>
      <c r="AH54" s="6"/>
      <c r="AI54" s="6"/>
      <c r="AJ54" s="6"/>
      <c r="AK54" s="6"/>
      <c r="AL54" s="6"/>
    </row>
    <row r="55" customFormat="false" ht="15" hidden="false" customHeight="false" outlineLevel="0" collapsed="false">
      <c r="A55" s="2" t="s">
        <v>90</v>
      </c>
      <c r="B55" s="2" t="s">
        <v>12</v>
      </c>
      <c r="C55" s="6"/>
      <c r="D55" s="6"/>
      <c r="E55" s="6"/>
      <c r="F55" s="6"/>
      <c r="G55" s="9" t="n">
        <v>20</v>
      </c>
      <c r="H55" s="6"/>
      <c r="I55" s="6"/>
      <c r="J55" s="6"/>
      <c r="K55" s="6"/>
      <c r="L55" s="6"/>
      <c r="M55" s="6"/>
      <c r="N55" s="6"/>
      <c r="O55" s="6"/>
      <c r="P55" s="6"/>
      <c r="Q55" s="9" t="n">
        <v>20</v>
      </c>
      <c r="R55" s="6"/>
      <c r="S55" s="6"/>
      <c r="T55" s="6"/>
      <c r="U55" s="6"/>
      <c r="V55" s="9" t="n">
        <v>20</v>
      </c>
      <c r="W55" s="6"/>
      <c r="X55" s="6"/>
      <c r="Y55" s="6"/>
      <c r="Z55" s="9" t="n">
        <v>20</v>
      </c>
      <c r="AA55" s="6"/>
      <c r="AB55" s="6"/>
      <c r="AC55" s="6"/>
      <c r="AD55" s="6"/>
      <c r="AE55" s="9" t="n">
        <v>20</v>
      </c>
      <c r="AF55" s="10" t="n">
        <f aca="false">IF(AG55&lt;&gt;"",AG55,SUM(G55,Q55,V55,Z55,AE55))</f>
        <v>100</v>
      </c>
      <c r="AG55" s="6"/>
      <c r="AH55" s="6"/>
      <c r="AI55" s="5" t="s">
        <v>358</v>
      </c>
      <c r="AJ55" s="6"/>
      <c r="AK55" s="6"/>
      <c r="AL55" s="6"/>
    </row>
    <row r="56" customFormat="false" ht="15" hidden="false" customHeight="false" outlineLevel="0" collapsed="false">
      <c r="A56" s="2" t="s">
        <v>91</v>
      </c>
      <c r="B56" s="2" t="s">
        <v>12</v>
      </c>
      <c r="C56" s="6"/>
      <c r="D56" s="6"/>
      <c r="E56" s="6"/>
      <c r="F56" s="6"/>
      <c r="G56" s="9" t="n">
        <v>18</v>
      </c>
      <c r="H56" s="6"/>
      <c r="I56" s="6"/>
      <c r="J56" s="6"/>
      <c r="K56" s="6"/>
      <c r="L56" s="6"/>
      <c r="M56" s="6"/>
      <c r="N56" s="6"/>
      <c r="O56" s="6"/>
      <c r="P56" s="6"/>
      <c r="Q56" s="9" t="n">
        <v>18</v>
      </c>
      <c r="R56" s="6"/>
      <c r="S56" s="6"/>
      <c r="T56" s="6"/>
      <c r="U56" s="6"/>
      <c r="V56" s="9" t="n">
        <v>18</v>
      </c>
      <c r="W56" s="6"/>
      <c r="X56" s="6"/>
      <c r="Y56" s="6"/>
      <c r="Z56" s="9" t="n">
        <v>18</v>
      </c>
      <c r="AA56" s="6"/>
      <c r="AB56" s="6"/>
      <c r="AC56" s="6"/>
      <c r="AD56" s="6"/>
      <c r="AE56" s="9" t="n">
        <v>18</v>
      </c>
      <c r="AF56" s="10" t="n">
        <f aca="false">IF(AG56&lt;&gt;"",AG56,SUM(G56,Q56,V56,Z56,AE56))</f>
        <v>90</v>
      </c>
      <c r="AG56" s="6"/>
      <c r="AH56" s="6"/>
      <c r="AI56" s="5" t="s">
        <v>358</v>
      </c>
      <c r="AJ56" s="6"/>
      <c r="AK56" s="6"/>
      <c r="AL56" s="6"/>
    </row>
    <row r="57" customFormat="false" ht="15" hidden="false" customHeight="false" outlineLevel="0" collapsed="false">
      <c r="A57" s="2" t="s">
        <v>92</v>
      </c>
      <c r="B57" s="2" t="s">
        <v>12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10" t="n">
        <f aca="false">IF(AG57&lt;&gt;"",AG57,SUM(G57,Q57,V57,Z57,AE57))</f>
        <v>0</v>
      </c>
      <c r="AG57" s="6"/>
      <c r="AH57" s="6"/>
      <c r="AI57" s="6"/>
      <c r="AJ57" s="6"/>
      <c r="AK57" s="6"/>
      <c r="AL57" s="6"/>
    </row>
    <row r="58" customFormat="false" ht="15" hidden="false" customHeight="false" outlineLevel="0" collapsed="false">
      <c r="A58" s="2" t="s">
        <v>93</v>
      </c>
      <c r="B58" s="2" t="s">
        <v>12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10" t="n">
        <f aca="false">IF(AG58&lt;&gt;"",AG58,SUM(G58,Q58,V58,Z58,AE58))</f>
        <v>0</v>
      </c>
      <c r="AG58" s="6"/>
      <c r="AH58" s="6"/>
      <c r="AI58" s="6"/>
      <c r="AJ58" s="6"/>
      <c r="AK58" s="6"/>
      <c r="AL58" s="6"/>
    </row>
    <row r="59" customFormat="false" ht="15" hidden="false" customHeight="false" outlineLevel="0" collapsed="false">
      <c r="A59" s="2" t="s">
        <v>94</v>
      </c>
      <c r="B59" s="2" t="s">
        <v>12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10" t="n">
        <f aca="false">IF(AG59&lt;&gt;"",AG59,SUM(G59,Q59,V59,Z59,AE59))</f>
        <v>0</v>
      </c>
      <c r="AG59" s="6"/>
      <c r="AH59" s="6"/>
      <c r="AI59" s="6"/>
      <c r="AJ59" s="6"/>
      <c r="AK59" s="6"/>
      <c r="AL59" s="6"/>
    </row>
    <row r="60" customFormat="false" ht="15" hidden="false" customHeight="false" outlineLevel="0" collapsed="false">
      <c r="A60" s="2" t="s">
        <v>96</v>
      </c>
      <c r="B60" s="2" t="s">
        <v>12</v>
      </c>
      <c r="C60" s="6"/>
      <c r="D60" s="6"/>
      <c r="E60" s="6"/>
      <c r="F60" s="6"/>
      <c r="G60" s="9" t="n">
        <v>20</v>
      </c>
      <c r="H60" s="6"/>
      <c r="I60" s="6"/>
      <c r="J60" s="6"/>
      <c r="K60" s="6"/>
      <c r="L60" s="6"/>
      <c r="M60" s="6"/>
      <c r="N60" s="6"/>
      <c r="O60" s="6"/>
      <c r="P60" s="6"/>
      <c r="Q60" s="9" t="n">
        <v>20</v>
      </c>
      <c r="R60" s="6"/>
      <c r="S60" s="6"/>
      <c r="T60" s="6"/>
      <c r="U60" s="6"/>
      <c r="V60" s="9" t="n">
        <v>20</v>
      </c>
      <c r="W60" s="6"/>
      <c r="X60" s="6"/>
      <c r="Y60" s="6"/>
      <c r="Z60" s="9" t="n">
        <v>20</v>
      </c>
      <c r="AA60" s="6"/>
      <c r="AB60" s="6"/>
      <c r="AC60" s="6"/>
      <c r="AD60" s="6"/>
      <c r="AE60" s="9" t="n">
        <v>20</v>
      </c>
      <c r="AF60" s="10" t="n">
        <f aca="false">IF(AG60&lt;&gt;"",AG60,SUM(G60,Q60,V60,Z60,AE60))</f>
        <v>100</v>
      </c>
      <c r="AG60" s="6"/>
      <c r="AH60" s="6"/>
      <c r="AI60" s="5" t="s">
        <v>358</v>
      </c>
      <c r="AJ60" s="6"/>
      <c r="AK60" s="6"/>
      <c r="AL60" s="6"/>
    </row>
    <row r="61" customFormat="false" ht="15" hidden="false" customHeight="false" outlineLevel="0" collapsed="false">
      <c r="A61" s="2" t="s">
        <v>97</v>
      </c>
      <c r="B61" s="2" t="s">
        <v>12</v>
      </c>
      <c r="C61" s="6"/>
      <c r="D61" s="6"/>
      <c r="E61" s="6"/>
      <c r="F61" s="6"/>
      <c r="G61" s="9" t="n">
        <v>20</v>
      </c>
      <c r="H61" s="6"/>
      <c r="I61" s="6"/>
      <c r="J61" s="6"/>
      <c r="K61" s="6"/>
      <c r="L61" s="6"/>
      <c r="M61" s="6"/>
      <c r="N61" s="6"/>
      <c r="O61" s="6"/>
      <c r="P61" s="6"/>
      <c r="Q61" s="9" t="n">
        <v>20</v>
      </c>
      <c r="R61" s="6"/>
      <c r="S61" s="6"/>
      <c r="T61" s="6"/>
      <c r="U61" s="6"/>
      <c r="V61" s="9" t="n">
        <v>20</v>
      </c>
      <c r="W61" s="6"/>
      <c r="X61" s="6"/>
      <c r="Y61" s="6"/>
      <c r="Z61" s="9" t="n">
        <v>20</v>
      </c>
      <c r="AA61" s="6"/>
      <c r="AB61" s="6"/>
      <c r="AC61" s="6"/>
      <c r="AD61" s="6"/>
      <c r="AE61" s="9" t="n">
        <v>20</v>
      </c>
      <c r="AF61" s="10" t="n">
        <f aca="false">IF(AG61&lt;&gt;"",AG61,SUM(G61,Q61,V61,Z61,AE61))</f>
        <v>100</v>
      </c>
      <c r="AG61" s="6"/>
      <c r="AH61" s="6"/>
      <c r="AI61" s="5" t="s">
        <v>358</v>
      </c>
      <c r="AJ61" s="6"/>
      <c r="AK61" s="6"/>
      <c r="AL61" s="6"/>
    </row>
    <row r="62" customFormat="false" ht="15" hidden="false" customHeight="false" outlineLevel="0" collapsed="false">
      <c r="A62" s="2" t="s">
        <v>98</v>
      </c>
      <c r="B62" s="2" t="s">
        <v>12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10" t="n">
        <f aca="false">IF(AG62&lt;&gt;"",AG62,SUM(G62,Q62,V62,Z62,AE62))</f>
        <v>0</v>
      </c>
      <c r="AG62" s="6"/>
      <c r="AH62" s="6"/>
      <c r="AI62" s="6"/>
      <c r="AJ62" s="6"/>
      <c r="AK62" s="6"/>
      <c r="AL62" s="6"/>
    </row>
    <row r="63" customFormat="false" ht="15" hidden="false" customHeight="false" outlineLevel="0" collapsed="false">
      <c r="A63" s="2" t="s">
        <v>99</v>
      </c>
      <c r="B63" s="2" t="s">
        <v>12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10" t="n">
        <f aca="false">IF(AG63&lt;&gt;"",AG63,SUM(G63,Q63,V63,Z63,AE63))</f>
        <v>0</v>
      </c>
      <c r="AG63" s="6"/>
      <c r="AH63" s="6"/>
      <c r="AI63" s="6"/>
      <c r="AJ63" s="6"/>
      <c r="AK63" s="6"/>
      <c r="AL63" s="6"/>
    </row>
    <row r="64" customFormat="false" ht="15" hidden="false" customHeight="false" outlineLevel="0" collapsed="false">
      <c r="A64" s="2" t="s">
        <v>100</v>
      </c>
      <c r="B64" s="2" t="s">
        <v>12</v>
      </c>
      <c r="C64" s="6"/>
      <c r="D64" s="6"/>
      <c r="E64" s="6"/>
      <c r="F64" s="6"/>
      <c r="G64" s="9" t="n">
        <v>16</v>
      </c>
      <c r="H64" s="6"/>
      <c r="I64" s="6"/>
      <c r="J64" s="6"/>
      <c r="K64" s="6"/>
      <c r="L64" s="6"/>
      <c r="M64" s="6"/>
      <c r="N64" s="6"/>
      <c r="O64" s="6"/>
      <c r="P64" s="6"/>
      <c r="Q64" s="9" t="n">
        <v>16</v>
      </c>
      <c r="R64" s="6"/>
      <c r="S64" s="6"/>
      <c r="T64" s="6"/>
      <c r="U64" s="6"/>
      <c r="V64" s="9" t="n">
        <v>16</v>
      </c>
      <c r="W64" s="6"/>
      <c r="X64" s="6"/>
      <c r="Y64" s="6"/>
      <c r="Z64" s="9" t="n">
        <v>16</v>
      </c>
      <c r="AA64" s="6"/>
      <c r="AB64" s="6"/>
      <c r="AC64" s="6"/>
      <c r="AD64" s="6"/>
      <c r="AE64" s="9" t="n">
        <v>16</v>
      </c>
      <c r="AF64" s="10" t="n">
        <f aca="false">IF(AG64&lt;&gt;"",AG64,SUM(G64,Q64,V64,Z64,AE64))</f>
        <v>80</v>
      </c>
      <c r="AG64" s="6"/>
      <c r="AH64" s="6"/>
      <c r="AI64" s="5" t="s">
        <v>358</v>
      </c>
      <c r="AJ64" s="6"/>
      <c r="AK64" s="6"/>
      <c r="AL64" s="6"/>
    </row>
    <row r="65" customFormat="false" ht="15" hidden="false" customHeight="false" outlineLevel="0" collapsed="false">
      <c r="A65" s="2" t="s">
        <v>101</v>
      </c>
      <c r="B65" s="2" t="s">
        <v>12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10" t="n">
        <f aca="false">IF(AG65&lt;&gt;"",AG65,SUM(G65,Q65,V65,Z65,AE65))</f>
        <v>0</v>
      </c>
      <c r="AG65" s="6"/>
      <c r="AH65" s="6"/>
      <c r="AI65" s="6"/>
      <c r="AJ65" s="6"/>
      <c r="AK65" s="6"/>
      <c r="AL65" s="6"/>
    </row>
    <row r="66" customFormat="false" ht="15" hidden="false" customHeight="false" outlineLevel="0" collapsed="false">
      <c r="A66" s="2" t="s">
        <v>102</v>
      </c>
      <c r="B66" s="2" t="s">
        <v>12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10" t="n">
        <f aca="false">IF(AG66&lt;&gt;"",AG66,SUM(G66,Q66,V66,Z66,AE66))</f>
        <v>0</v>
      </c>
      <c r="AG66" s="6"/>
      <c r="AH66" s="6"/>
      <c r="AI66" s="6"/>
      <c r="AJ66" s="6"/>
      <c r="AK66" s="6"/>
      <c r="AL66" s="6"/>
    </row>
    <row r="67" customFormat="false" ht="15" hidden="false" customHeight="false" outlineLevel="0" collapsed="false">
      <c r="A67" s="2" t="s">
        <v>104</v>
      </c>
      <c r="B67" s="2" t="s">
        <v>12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10" t="n">
        <f aca="false">IF(AG67&lt;&gt;"",AG67,SUM(G67,Q67,V67,Z67,AE67))</f>
        <v>0</v>
      </c>
      <c r="AG67" s="6"/>
      <c r="AH67" s="6"/>
      <c r="AI67" s="6"/>
      <c r="AJ67" s="6"/>
      <c r="AK67" s="6"/>
      <c r="AL67" s="6"/>
    </row>
    <row r="68" customFormat="false" ht="15" hidden="false" customHeight="false" outlineLevel="0" collapsed="false">
      <c r="A68" s="2" t="s">
        <v>106</v>
      </c>
      <c r="B68" s="2" t="s">
        <v>12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10" t="n">
        <f aca="false">IF(AG68&lt;&gt;"",AG68,SUM(G68,Q68,V68,Z68,AE68))</f>
        <v>0</v>
      </c>
      <c r="AG68" s="6"/>
      <c r="AH68" s="6"/>
      <c r="AI68" s="6"/>
      <c r="AJ68" s="6"/>
      <c r="AK68" s="6"/>
      <c r="AL68" s="6"/>
    </row>
    <row r="69" customFormat="false" ht="15" hidden="false" customHeight="false" outlineLevel="0" collapsed="false">
      <c r="A69" s="2" t="s">
        <v>108</v>
      </c>
      <c r="B69" s="2" t="s">
        <v>12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0" t="n">
        <f aca="false">IF(AG69&lt;&gt;"",AG69,SUM(G69,Q69,V69,Z69,AE69))</f>
        <v>0</v>
      </c>
      <c r="AG69" s="6"/>
      <c r="AH69" s="6"/>
      <c r="AI69" s="6"/>
      <c r="AJ69" s="6"/>
      <c r="AK69" s="6"/>
      <c r="AL69" s="6"/>
    </row>
    <row r="70" customFormat="false" ht="15" hidden="false" customHeight="false" outlineLevel="0" collapsed="false">
      <c r="A70" s="2" t="s">
        <v>109</v>
      </c>
      <c r="B70" s="2" t="s">
        <v>12</v>
      </c>
      <c r="C70" s="6"/>
      <c r="D70" s="6"/>
      <c r="E70" s="6"/>
      <c r="F70" s="6"/>
      <c r="G70" s="9" t="n">
        <v>16</v>
      </c>
      <c r="H70" s="6"/>
      <c r="I70" s="6"/>
      <c r="J70" s="6"/>
      <c r="K70" s="6"/>
      <c r="L70" s="6"/>
      <c r="M70" s="6"/>
      <c r="N70" s="6"/>
      <c r="O70" s="6"/>
      <c r="P70" s="6"/>
      <c r="Q70" s="9" t="n">
        <v>16</v>
      </c>
      <c r="R70" s="6"/>
      <c r="S70" s="6"/>
      <c r="T70" s="6"/>
      <c r="U70" s="6"/>
      <c r="V70" s="9" t="n">
        <v>16</v>
      </c>
      <c r="W70" s="6"/>
      <c r="X70" s="6"/>
      <c r="Y70" s="6"/>
      <c r="Z70" s="9" t="n">
        <v>16</v>
      </c>
      <c r="AA70" s="6"/>
      <c r="AB70" s="6"/>
      <c r="AC70" s="6"/>
      <c r="AD70" s="6"/>
      <c r="AE70" s="9" t="n">
        <v>16</v>
      </c>
      <c r="AF70" s="10" t="n">
        <f aca="false">IF(AG70&lt;&gt;"",AG70,SUM(G70,Q70,V70,Z70,AE70))</f>
        <v>80</v>
      </c>
      <c r="AG70" s="6"/>
      <c r="AH70" s="6"/>
      <c r="AI70" s="5" t="s">
        <v>358</v>
      </c>
      <c r="AJ70" s="6"/>
      <c r="AK70" s="6"/>
      <c r="AL70" s="6"/>
    </row>
    <row r="71" customFormat="false" ht="15" hidden="false" customHeight="false" outlineLevel="0" collapsed="false">
      <c r="A71" s="2" t="s">
        <v>110</v>
      </c>
      <c r="B71" s="2" t="s">
        <v>12</v>
      </c>
      <c r="C71" s="6"/>
      <c r="D71" s="6"/>
      <c r="E71" s="6"/>
      <c r="F71" s="6"/>
      <c r="G71" s="9" t="n">
        <v>20</v>
      </c>
      <c r="H71" s="6"/>
      <c r="I71" s="6"/>
      <c r="J71" s="6"/>
      <c r="K71" s="6"/>
      <c r="L71" s="6"/>
      <c r="M71" s="6"/>
      <c r="N71" s="6"/>
      <c r="O71" s="6"/>
      <c r="P71" s="6"/>
      <c r="Q71" s="9" t="n">
        <v>20</v>
      </c>
      <c r="R71" s="6"/>
      <c r="S71" s="6"/>
      <c r="T71" s="6"/>
      <c r="U71" s="6"/>
      <c r="V71" s="9" t="n">
        <v>20</v>
      </c>
      <c r="W71" s="6"/>
      <c r="X71" s="6"/>
      <c r="Y71" s="6"/>
      <c r="Z71" s="9" t="n">
        <v>20</v>
      </c>
      <c r="AA71" s="6"/>
      <c r="AB71" s="6"/>
      <c r="AC71" s="6"/>
      <c r="AD71" s="6"/>
      <c r="AE71" s="9" t="n">
        <v>20</v>
      </c>
      <c r="AF71" s="10" t="n">
        <f aca="false">IF(AG71&lt;&gt;"",AG71,SUM(G71,Q71,V71,Z71,AE71))</f>
        <v>100</v>
      </c>
      <c r="AG71" s="6"/>
      <c r="AH71" s="6"/>
      <c r="AI71" s="5" t="s">
        <v>358</v>
      </c>
      <c r="AJ71" s="6"/>
      <c r="AK71" s="6"/>
      <c r="AL71" s="6"/>
    </row>
    <row r="72" customFormat="false" ht="15" hidden="false" customHeight="false" outlineLevel="0" collapsed="false">
      <c r="A72" s="2" t="s">
        <v>111</v>
      </c>
      <c r="B72" s="2" t="s">
        <v>12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10" t="n">
        <f aca="false">IF(AG72&lt;&gt;"",AG72,SUM(G72,Q72,V72,Z72,AE72))</f>
        <v>0</v>
      </c>
      <c r="AG72" s="6"/>
      <c r="AH72" s="6"/>
      <c r="AI72" s="6"/>
      <c r="AJ72" s="6"/>
      <c r="AK72" s="6"/>
      <c r="AL72" s="6"/>
    </row>
    <row r="73" customFormat="false" ht="15" hidden="false" customHeight="false" outlineLevel="0" collapsed="false">
      <c r="A73" s="2" t="s">
        <v>113</v>
      </c>
      <c r="B73" s="2" t="s">
        <v>12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10" t="n">
        <f aca="false">IF(AG73&lt;&gt;"",AG73,SUM(G73,Q73,V73,Z73,AE73))</f>
        <v>0</v>
      </c>
      <c r="AG73" s="6"/>
      <c r="AH73" s="6"/>
      <c r="AI73" s="6"/>
      <c r="AJ73" s="6"/>
      <c r="AK73" s="6"/>
      <c r="AL73" s="6"/>
    </row>
    <row r="74" customFormat="false" ht="15" hidden="false" customHeight="false" outlineLevel="0" collapsed="false">
      <c r="A74" s="2" t="s">
        <v>79</v>
      </c>
      <c r="B74" s="2" t="s">
        <v>12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10" t="n">
        <f aca="false">IF(AG74&lt;&gt;"",AG74,SUM(G74,Q74,V74,Z74,AE74))</f>
        <v>0</v>
      </c>
      <c r="AG74" s="6"/>
      <c r="AH74" s="6"/>
      <c r="AI74" s="6"/>
      <c r="AJ74" s="6"/>
      <c r="AK74" s="6"/>
      <c r="AL74" s="6"/>
    </row>
    <row r="75" customFormat="false" ht="15" hidden="false" customHeight="false" outlineLevel="0" collapsed="false">
      <c r="A75" s="2" t="s">
        <v>114</v>
      </c>
      <c r="B75" s="2" t="s">
        <v>12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0" t="n">
        <f aca="false">IF(AG75&lt;&gt;"",AG75,SUM(G75,Q75,V75,Z75,AE75))</f>
        <v>0</v>
      </c>
      <c r="AG75" s="6"/>
      <c r="AH75" s="6"/>
      <c r="AI75" s="6"/>
      <c r="AJ75" s="6"/>
      <c r="AK75" s="6"/>
      <c r="AL75" s="6"/>
    </row>
    <row r="76" customFormat="false" ht="15" hidden="false" customHeight="false" outlineLevel="0" collapsed="false">
      <c r="A76" s="2" t="s">
        <v>115</v>
      </c>
      <c r="B76" s="2" t="s">
        <v>12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10" t="n">
        <f aca="false">IF(AG76&lt;&gt;"",AG76,SUM(G76,Q76,V76,Z76,AE76))</f>
        <v>0</v>
      </c>
      <c r="AG76" s="6"/>
      <c r="AH76" s="6"/>
      <c r="AI76" s="6"/>
      <c r="AJ76" s="6"/>
      <c r="AK76" s="6"/>
      <c r="AL76" s="6"/>
    </row>
    <row r="77" customFormat="false" ht="15" hidden="false" customHeight="false" outlineLevel="0" collapsed="false">
      <c r="A77" s="2" t="s">
        <v>116</v>
      </c>
      <c r="B77" s="2" t="s">
        <v>12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10" t="n">
        <f aca="false">IF(AG77&lt;&gt;"",AG77,SUM(G77,Q77,V77,Z77,AE77))</f>
        <v>0</v>
      </c>
      <c r="AG77" s="6"/>
      <c r="AH77" s="6"/>
      <c r="AI77" s="6"/>
      <c r="AJ77" s="6"/>
      <c r="AK77" s="6"/>
      <c r="AL77" s="6"/>
    </row>
    <row r="78" customFormat="false" ht="15" hidden="false" customHeight="false" outlineLevel="0" collapsed="false">
      <c r="A78" s="2" t="s">
        <v>117</v>
      </c>
      <c r="B78" s="2" t="s">
        <v>12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10" t="n">
        <f aca="false">IF(AG78&lt;&gt;"",AG78,SUM(G78,Q78,V78,Z78,AE78))</f>
        <v>0</v>
      </c>
      <c r="AG78" s="6"/>
      <c r="AH78" s="6"/>
      <c r="AI78" s="6"/>
      <c r="AJ78" s="6"/>
      <c r="AK78" s="6"/>
      <c r="AL78" s="6"/>
    </row>
    <row r="79" customFormat="false" ht="15" hidden="false" customHeight="false" outlineLevel="0" collapsed="false">
      <c r="A79" s="2" t="s">
        <v>118</v>
      </c>
      <c r="B79" s="2" t="s">
        <v>12</v>
      </c>
      <c r="C79" s="6"/>
      <c r="D79" s="6"/>
      <c r="E79" s="6"/>
      <c r="F79" s="6"/>
      <c r="G79" s="9" t="n">
        <v>20</v>
      </c>
      <c r="H79" s="6"/>
      <c r="I79" s="6"/>
      <c r="J79" s="6"/>
      <c r="K79" s="6"/>
      <c r="L79" s="6"/>
      <c r="M79" s="6"/>
      <c r="N79" s="6"/>
      <c r="O79" s="6"/>
      <c r="P79" s="6"/>
      <c r="Q79" s="9" t="n">
        <v>20</v>
      </c>
      <c r="R79" s="6"/>
      <c r="S79" s="6"/>
      <c r="T79" s="6"/>
      <c r="U79" s="6"/>
      <c r="V79" s="9" t="n">
        <v>20</v>
      </c>
      <c r="W79" s="6"/>
      <c r="X79" s="6"/>
      <c r="Y79" s="6"/>
      <c r="Z79" s="9" t="n">
        <v>20</v>
      </c>
      <c r="AA79" s="6"/>
      <c r="AB79" s="6"/>
      <c r="AC79" s="6"/>
      <c r="AD79" s="6"/>
      <c r="AE79" s="9" t="n">
        <v>20</v>
      </c>
      <c r="AF79" s="10" t="n">
        <f aca="false">IF(AG79&lt;&gt;"",AG79,SUM(G79,Q79,V79,Z79,AE79))</f>
        <v>100</v>
      </c>
      <c r="AG79" s="6"/>
      <c r="AH79" s="6"/>
      <c r="AI79" s="5" t="s">
        <v>358</v>
      </c>
      <c r="AJ79" s="6"/>
      <c r="AK79" s="6"/>
      <c r="AL79" s="6"/>
    </row>
    <row r="80" customFormat="false" ht="15" hidden="false" customHeight="false" outlineLevel="0" collapsed="false">
      <c r="A80" s="2" t="s">
        <v>119</v>
      </c>
      <c r="B80" s="2" t="s">
        <v>12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10" t="n">
        <f aca="false">IF(AG80&lt;&gt;"",AG80,SUM(G80,Q80,V80,Z80,AE80))</f>
        <v>0</v>
      </c>
      <c r="AG80" s="6"/>
      <c r="AH80" s="6"/>
      <c r="AI80" s="6"/>
      <c r="AJ80" s="6"/>
      <c r="AK80" s="6"/>
      <c r="AL80" s="6"/>
    </row>
    <row r="81" customFormat="false" ht="15" hidden="false" customHeight="false" outlineLevel="0" collapsed="false">
      <c r="A81" s="2" t="s">
        <v>120</v>
      </c>
      <c r="B81" s="2" t="s">
        <v>12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10" t="n">
        <f aca="false">IF(AG81&lt;&gt;"",AG81,SUM(G81,Q81,V81,Z81,AE81))</f>
        <v>0</v>
      </c>
      <c r="AG81" s="6"/>
      <c r="AH81" s="6"/>
      <c r="AI81" s="6"/>
      <c r="AJ81" s="6"/>
      <c r="AK81" s="6"/>
      <c r="AL81" s="6"/>
    </row>
    <row r="82" customFormat="false" ht="15" hidden="false" customHeight="false" outlineLevel="0" collapsed="false">
      <c r="A82" s="2" t="s">
        <v>121</v>
      </c>
      <c r="B82" s="2" t="s">
        <v>12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10" t="n">
        <f aca="false">IF(AG82&lt;&gt;"",AG82,SUM(G82,Q82,V82,Z82,AE82))</f>
        <v>0</v>
      </c>
      <c r="AG82" s="6"/>
      <c r="AH82" s="6"/>
      <c r="AI82" s="6"/>
      <c r="AJ82" s="6"/>
      <c r="AK82" s="6"/>
      <c r="AL82" s="6"/>
    </row>
    <row r="83" customFormat="false" ht="15" hidden="false" customHeight="false" outlineLevel="0" collapsed="false">
      <c r="A83" s="2" t="s">
        <v>122</v>
      </c>
      <c r="B83" s="2" t="s">
        <v>12</v>
      </c>
      <c r="C83" s="6"/>
      <c r="D83" s="6"/>
      <c r="E83" s="6"/>
      <c r="F83" s="6"/>
      <c r="G83" s="9" t="n">
        <v>16</v>
      </c>
      <c r="H83" s="6"/>
      <c r="I83" s="6"/>
      <c r="J83" s="6"/>
      <c r="K83" s="6"/>
      <c r="L83" s="6"/>
      <c r="M83" s="6"/>
      <c r="N83" s="6"/>
      <c r="O83" s="6"/>
      <c r="P83" s="6"/>
      <c r="Q83" s="9" t="n">
        <v>16</v>
      </c>
      <c r="R83" s="6"/>
      <c r="S83" s="6"/>
      <c r="T83" s="6"/>
      <c r="U83" s="6"/>
      <c r="V83" s="9" t="n">
        <v>16</v>
      </c>
      <c r="W83" s="6"/>
      <c r="X83" s="6"/>
      <c r="Y83" s="6"/>
      <c r="Z83" s="9" t="n">
        <v>16</v>
      </c>
      <c r="AA83" s="6"/>
      <c r="AB83" s="6"/>
      <c r="AC83" s="6"/>
      <c r="AD83" s="6"/>
      <c r="AE83" s="9" t="n">
        <v>16</v>
      </c>
      <c r="AF83" s="10" t="n">
        <f aca="false">IF(AG83&lt;&gt;"",AG83,SUM(G83,Q83,V83,Z83,AE83))</f>
        <v>80</v>
      </c>
      <c r="AG83" s="6"/>
      <c r="AH83" s="6"/>
      <c r="AI83" s="5" t="s">
        <v>358</v>
      </c>
      <c r="AJ83" s="6"/>
      <c r="AK83" s="6"/>
      <c r="AL83" s="6"/>
    </row>
    <row r="84" customFormat="false" ht="15" hidden="false" customHeight="false" outlineLevel="0" collapsed="false">
      <c r="A84" s="2" t="s">
        <v>123</v>
      </c>
      <c r="B84" s="2" t="s">
        <v>12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10" t="n">
        <f aca="false">IF(AG84&lt;&gt;"",AG84,SUM(G84,Q84,V84,Z84,AE84))</f>
        <v>0</v>
      </c>
      <c r="AG84" s="6"/>
      <c r="AH84" s="6"/>
      <c r="AI84" s="6"/>
      <c r="AJ84" s="6"/>
      <c r="AK84" s="6"/>
      <c r="AL84" s="6"/>
    </row>
    <row r="85" customFormat="false" ht="15" hidden="false" customHeight="false" outlineLevel="0" collapsed="false">
      <c r="A85" s="2" t="s">
        <v>124</v>
      </c>
      <c r="B85" s="2" t="s">
        <v>12</v>
      </c>
      <c r="C85" s="6"/>
      <c r="D85" s="6"/>
      <c r="E85" s="6"/>
      <c r="F85" s="6"/>
      <c r="G85" s="9" t="n">
        <v>18</v>
      </c>
      <c r="H85" s="6"/>
      <c r="I85" s="6"/>
      <c r="J85" s="6"/>
      <c r="K85" s="6"/>
      <c r="L85" s="6"/>
      <c r="M85" s="6"/>
      <c r="N85" s="6"/>
      <c r="O85" s="6"/>
      <c r="P85" s="6"/>
      <c r="Q85" s="9" t="n">
        <v>18</v>
      </c>
      <c r="R85" s="6"/>
      <c r="S85" s="6"/>
      <c r="T85" s="6"/>
      <c r="U85" s="6"/>
      <c r="V85" s="9" t="n">
        <v>18</v>
      </c>
      <c r="W85" s="6"/>
      <c r="X85" s="6"/>
      <c r="Y85" s="6"/>
      <c r="Z85" s="9" t="n">
        <v>18</v>
      </c>
      <c r="AA85" s="6"/>
      <c r="AB85" s="6"/>
      <c r="AC85" s="6"/>
      <c r="AD85" s="6"/>
      <c r="AE85" s="9" t="n">
        <v>18</v>
      </c>
      <c r="AF85" s="10" t="n">
        <f aca="false">IF(AG85&lt;&gt;"",AG85,SUM(G85,Q85,V85,Z85,AE85))</f>
        <v>90</v>
      </c>
      <c r="AG85" s="6"/>
      <c r="AH85" s="6"/>
      <c r="AI85" s="5" t="s">
        <v>358</v>
      </c>
      <c r="AJ85" s="6"/>
      <c r="AK85" s="6"/>
      <c r="AL85" s="6"/>
    </row>
    <row r="86" customFormat="false" ht="15" hidden="false" customHeight="false" outlineLevel="0" collapsed="false">
      <c r="A86" s="2" t="s">
        <v>125</v>
      </c>
      <c r="B86" s="2" t="s">
        <v>12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10" t="n">
        <f aca="false">IF(AG86&lt;&gt;"",AG86,SUM(G86,Q86,V86,Z86,AE86))</f>
        <v>0</v>
      </c>
      <c r="AG86" s="6"/>
      <c r="AH86" s="6"/>
      <c r="AI86" s="6"/>
      <c r="AJ86" s="6"/>
      <c r="AK86" s="6"/>
      <c r="AL86" s="6"/>
    </row>
    <row r="87" customFormat="false" ht="15" hidden="false" customHeight="false" outlineLevel="0" collapsed="false">
      <c r="A87" s="2" t="s">
        <v>126</v>
      </c>
      <c r="B87" s="2" t="s">
        <v>12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10" t="n">
        <f aca="false">IF(AG87&lt;&gt;"",AG87,SUM(G87,Q87,V87,Z87,AE87))</f>
        <v>0</v>
      </c>
      <c r="AG87" s="6"/>
      <c r="AH87" s="6"/>
      <c r="AI87" s="6"/>
      <c r="AJ87" s="6"/>
      <c r="AK87" s="6"/>
      <c r="AL87" s="6"/>
    </row>
    <row r="88" customFormat="false" ht="15" hidden="false" customHeight="false" outlineLevel="0" collapsed="false">
      <c r="A88" s="2" t="s">
        <v>127</v>
      </c>
      <c r="B88" s="2" t="s">
        <v>12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10" t="n">
        <f aca="false">IF(AG88&lt;&gt;"",AG88,SUM(G88,Q88,V88,Z88,AE88))</f>
        <v>0</v>
      </c>
      <c r="AG88" s="6"/>
      <c r="AH88" s="6"/>
      <c r="AI88" s="6"/>
      <c r="AJ88" s="6"/>
      <c r="AK88" s="6"/>
      <c r="AL88" s="6"/>
    </row>
    <row r="89" customFormat="false" ht="15" hidden="false" customHeight="false" outlineLevel="0" collapsed="false">
      <c r="A89" s="2" t="s">
        <v>128</v>
      </c>
      <c r="B89" s="2" t="s">
        <v>12</v>
      </c>
      <c r="C89" s="6"/>
      <c r="D89" s="6"/>
      <c r="E89" s="6"/>
      <c r="F89" s="6"/>
      <c r="G89" s="9" t="n">
        <v>20</v>
      </c>
      <c r="H89" s="6"/>
      <c r="I89" s="6"/>
      <c r="J89" s="6"/>
      <c r="K89" s="6"/>
      <c r="L89" s="6"/>
      <c r="M89" s="6"/>
      <c r="N89" s="6"/>
      <c r="O89" s="6"/>
      <c r="P89" s="6"/>
      <c r="Q89" s="9" t="n">
        <v>20</v>
      </c>
      <c r="R89" s="6"/>
      <c r="S89" s="6"/>
      <c r="T89" s="6"/>
      <c r="U89" s="6"/>
      <c r="V89" s="9" t="n">
        <v>20</v>
      </c>
      <c r="W89" s="6"/>
      <c r="X89" s="6"/>
      <c r="Y89" s="6"/>
      <c r="Z89" s="9" t="n">
        <v>20</v>
      </c>
      <c r="AA89" s="6"/>
      <c r="AB89" s="6"/>
      <c r="AC89" s="6"/>
      <c r="AD89" s="6"/>
      <c r="AE89" s="9" t="n">
        <v>20</v>
      </c>
      <c r="AF89" s="10" t="n">
        <f aca="false">IF(AG89&lt;&gt;"",AG89,SUM(G89,Q89,V89,Z89,AE89))</f>
        <v>100</v>
      </c>
      <c r="AG89" s="6"/>
      <c r="AH89" s="6"/>
      <c r="AI89" s="5" t="s">
        <v>358</v>
      </c>
      <c r="AJ89" s="6"/>
      <c r="AK89" s="6"/>
      <c r="AL89" s="6"/>
    </row>
    <row r="90" customFormat="false" ht="15" hidden="false" customHeight="false" outlineLevel="0" collapsed="false">
      <c r="A90" s="2" t="s">
        <v>129</v>
      </c>
      <c r="B90" s="2" t="s">
        <v>12</v>
      </c>
      <c r="C90" s="6"/>
      <c r="D90" s="6"/>
      <c r="E90" s="6"/>
      <c r="F90" s="6"/>
      <c r="G90" s="9" t="n">
        <v>20</v>
      </c>
      <c r="H90" s="6"/>
      <c r="I90" s="6"/>
      <c r="J90" s="6"/>
      <c r="K90" s="6"/>
      <c r="L90" s="6"/>
      <c r="M90" s="6"/>
      <c r="N90" s="6"/>
      <c r="O90" s="6"/>
      <c r="P90" s="6"/>
      <c r="Q90" s="9" t="n">
        <v>20</v>
      </c>
      <c r="R90" s="6"/>
      <c r="S90" s="6"/>
      <c r="T90" s="6"/>
      <c r="U90" s="6"/>
      <c r="V90" s="9" t="n">
        <v>20</v>
      </c>
      <c r="W90" s="6"/>
      <c r="X90" s="6"/>
      <c r="Y90" s="6"/>
      <c r="Z90" s="9" t="n">
        <v>20</v>
      </c>
      <c r="AA90" s="6"/>
      <c r="AB90" s="6"/>
      <c r="AC90" s="6"/>
      <c r="AD90" s="6"/>
      <c r="AE90" s="9" t="n">
        <v>20</v>
      </c>
      <c r="AF90" s="10" t="n">
        <f aca="false">IF(AG90&lt;&gt;"",AG90,SUM(G90,Q90,V90,Z90,AE90))</f>
        <v>100</v>
      </c>
      <c r="AG90" s="6"/>
      <c r="AH90" s="6"/>
      <c r="AI90" s="5" t="s">
        <v>358</v>
      </c>
      <c r="AJ90" s="6"/>
      <c r="AK90" s="6"/>
      <c r="AL90" s="6"/>
    </row>
    <row r="91" customFormat="false" ht="15" hidden="false" customHeight="false" outlineLevel="0" collapsed="false">
      <c r="A91" s="2" t="s">
        <v>130</v>
      </c>
      <c r="B91" s="2" t="s">
        <v>12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10" t="n">
        <f aca="false">IF(AG91&lt;&gt;"",AG91,SUM(G91,Q91,V91,Z91,AE91))</f>
        <v>0</v>
      </c>
      <c r="AG91" s="6"/>
      <c r="AH91" s="6"/>
      <c r="AI91" s="6"/>
      <c r="AJ91" s="6"/>
      <c r="AK91" s="6"/>
      <c r="AL91" s="6"/>
    </row>
    <row r="92" customFormat="false" ht="15" hidden="false" customHeight="false" outlineLevel="0" collapsed="false">
      <c r="A92" s="2" t="s">
        <v>131</v>
      </c>
      <c r="B92" s="2" t="s">
        <v>12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10" t="n">
        <f aca="false">IF(AG92&lt;&gt;"",AG92,SUM(G92,Q92,V92,Z92,AE92))</f>
        <v>0</v>
      </c>
      <c r="AG92" s="6"/>
      <c r="AH92" s="6"/>
      <c r="AI92" s="6"/>
      <c r="AJ92" s="6"/>
      <c r="AK92" s="6"/>
      <c r="AL92" s="6"/>
    </row>
    <row r="93" customFormat="false" ht="15" hidden="false" customHeight="false" outlineLevel="0" collapsed="false">
      <c r="A93" s="2" t="s">
        <v>132</v>
      </c>
      <c r="B93" s="2" t="s">
        <v>12</v>
      </c>
      <c r="C93" s="6"/>
      <c r="D93" s="6"/>
      <c r="E93" s="6"/>
      <c r="F93" s="6"/>
      <c r="G93" s="9" t="n">
        <v>16</v>
      </c>
      <c r="H93" s="6"/>
      <c r="I93" s="6"/>
      <c r="J93" s="6"/>
      <c r="K93" s="6"/>
      <c r="L93" s="6"/>
      <c r="M93" s="6"/>
      <c r="N93" s="6"/>
      <c r="O93" s="6"/>
      <c r="P93" s="6"/>
      <c r="Q93" s="9" t="n">
        <v>16</v>
      </c>
      <c r="R93" s="6"/>
      <c r="S93" s="6"/>
      <c r="T93" s="6"/>
      <c r="U93" s="6"/>
      <c r="V93" s="9" t="n">
        <v>16</v>
      </c>
      <c r="W93" s="6"/>
      <c r="X93" s="6"/>
      <c r="Y93" s="6"/>
      <c r="Z93" s="9" t="n">
        <v>16</v>
      </c>
      <c r="AA93" s="6"/>
      <c r="AB93" s="6"/>
      <c r="AC93" s="6"/>
      <c r="AD93" s="6"/>
      <c r="AE93" s="9" t="n">
        <v>16</v>
      </c>
      <c r="AF93" s="10" t="n">
        <f aca="false">IF(AG93&lt;&gt;"",AG93,SUM(G93,Q93,V93,Z93,AE93))</f>
        <v>80</v>
      </c>
      <c r="AG93" s="6"/>
      <c r="AH93" s="6"/>
      <c r="AI93" s="5" t="s">
        <v>358</v>
      </c>
      <c r="AJ93" s="6"/>
      <c r="AK93" s="6"/>
      <c r="AL93" s="6"/>
    </row>
    <row r="94" customFormat="false" ht="15" hidden="false" customHeight="false" outlineLevel="0" collapsed="false">
      <c r="A94" s="2" t="s">
        <v>133</v>
      </c>
      <c r="B94" s="2" t="s">
        <v>12</v>
      </c>
      <c r="C94" s="6"/>
      <c r="D94" s="6"/>
      <c r="E94" s="6"/>
      <c r="F94" s="6"/>
      <c r="G94" s="9" t="n">
        <v>20</v>
      </c>
      <c r="H94" s="6"/>
      <c r="I94" s="6"/>
      <c r="J94" s="6"/>
      <c r="K94" s="6"/>
      <c r="L94" s="6"/>
      <c r="M94" s="6"/>
      <c r="N94" s="6"/>
      <c r="O94" s="6"/>
      <c r="P94" s="6"/>
      <c r="Q94" s="9" t="n">
        <v>20</v>
      </c>
      <c r="R94" s="6"/>
      <c r="S94" s="6"/>
      <c r="T94" s="6"/>
      <c r="U94" s="6"/>
      <c r="V94" s="9" t="n">
        <v>20</v>
      </c>
      <c r="W94" s="6"/>
      <c r="X94" s="6"/>
      <c r="Y94" s="6"/>
      <c r="Z94" s="9" t="n">
        <v>20</v>
      </c>
      <c r="AA94" s="6"/>
      <c r="AB94" s="6"/>
      <c r="AC94" s="6"/>
      <c r="AD94" s="6"/>
      <c r="AE94" s="9" t="n">
        <v>20</v>
      </c>
      <c r="AF94" s="10" t="n">
        <f aca="false">IF(AG94&lt;&gt;"",AG94,SUM(G94,Q94,V94,Z94,AE94))</f>
        <v>100</v>
      </c>
      <c r="AG94" s="6"/>
      <c r="AH94" s="6"/>
      <c r="AI94" s="5" t="s">
        <v>358</v>
      </c>
      <c r="AJ94" s="6"/>
      <c r="AK94" s="6"/>
      <c r="AL94" s="6"/>
    </row>
    <row r="95" customFormat="false" ht="15" hidden="false" customHeight="false" outlineLevel="0" collapsed="false">
      <c r="A95" s="2" t="s">
        <v>134</v>
      </c>
      <c r="B95" s="2" t="s">
        <v>12</v>
      </c>
      <c r="C95" s="6"/>
      <c r="D95" s="6"/>
      <c r="E95" s="6"/>
      <c r="F95" s="6"/>
      <c r="G95" s="9" t="n">
        <v>20</v>
      </c>
      <c r="H95" s="6"/>
      <c r="I95" s="6"/>
      <c r="J95" s="6"/>
      <c r="K95" s="6"/>
      <c r="L95" s="6"/>
      <c r="M95" s="6"/>
      <c r="N95" s="6"/>
      <c r="O95" s="6"/>
      <c r="P95" s="6"/>
      <c r="Q95" s="9" t="n">
        <v>20</v>
      </c>
      <c r="R95" s="6"/>
      <c r="S95" s="6"/>
      <c r="T95" s="6"/>
      <c r="U95" s="6"/>
      <c r="V95" s="9" t="n">
        <v>20</v>
      </c>
      <c r="W95" s="6"/>
      <c r="X95" s="6"/>
      <c r="Y95" s="6"/>
      <c r="Z95" s="9" t="n">
        <v>20</v>
      </c>
      <c r="AA95" s="6"/>
      <c r="AB95" s="6"/>
      <c r="AC95" s="6"/>
      <c r="AD95" s="6"/>
      <c r="AE95" s="9" t="n">
        <v>20</v>
      </c>
      <c r="AF95" s="10" t="n">
        <f aca="false">IF(AG95&lt;&gt;"",AG95,SUM(G95,Q95,V95,Z95,AE95))</f>
        <v>100</v>
      </c>
      <c r="AG95" s="6"/>
      <c r="AH95" s="6"/>
      <c r="AI95" s="5" t="s">
        <v>358</v>
      </c>
      <c r="AJ95" s="6"/>
      <c r="AK95" s="6"/>
      <c r="AL95" s="6"/>
    </row>
    <row r="96" customFormat="false" ht="15" hidden="false" customHeight="false" outlineLevel="0" collapsed="false">
      <c r="A96" s="2" t="s">
        <v>135</v>
      </c>
      <c r="B96" s="2" t="s">
        <v>12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10" t="n">
        <f aca="false">IF(AG96&lt;&gt;"",AG96,SUM(G96,Q96,V96,Z96,AE96))</f>
        <v>0</v>
      </c>
      <c r="AG96" s="6"/>
      <c r="AH96" s="6"/>
      <c r="AI96" s="6"/>
      <c r="AJ96" s="6"/>
      <c r="AK96" s="6"/>
      <c r="AL96" s="6"/>
    </row>
    <row r="97" customFormat="false" ht="15" hidden="false" customHeight="false" outlineLevel="0" collapsed="false">
      <c r="A97" s="2" t="s">
        <v>137</v>
      </c>
      <c r="B97" s="2" t="s">
        <v>12</v>
      </c>
      <c r="C97" s="6"/>
      <c r="D97" s="6"/>
      <c r="E97" s="6"/>
      <c r="F97" s="6"/>
      <c r="G97" s="9" t="n">
        <v>20</v>
      </c>
      <c r="H97" s="6"/>
      <c r="I97" s="6"/>
      <c r="J97" s="6"/>
      <c r="K97" s="6"/>
      <c r="L97" s="6"/>
      <c r="M97" s="6"/>
      <c r="N97" s="6"/>
      <c r="O97" s="6"/>
      <c r="P97" s="6"/>
      <c r="Q97" s="9" t="n">
        <v>20</v>
      </c>
      <c r="R97" s="6"/>
      <c r="S97" s="6"/>
      <c r="T97" s="6"/>
      <c r="U97" s="6"/>
      <c r="V97" s="9" t="n">
        <v>20</v>
      </c>
      <c r="W97" s="6"/>
      <c r="X97" s="6"/>
      <c r="Y97" s="6"/>
      <c r="Z97" s="9" t="n">
        <v>20</v>
      </c>
      <c r="AA97" s="6"/>
      <c r="AB97" s="6"/>
      <c r="AC97" s="6"/>
      <c r="AD97" s="6"/>
      <c r="AE97" s="9" t="n">
        <v>20</v>
      </c>
      <c r="AF97" s="10" t="n">
        <f aca="false">IF(AG97&lt;&gt;"",AG97,SUM(G97,Q97,V97,Z97,AE97))</f>
        <v>100</v>
      </c>
      <c r="AG97" s="6"/>
      <c r="AH97" s="6"/>
      <c r="AI97" s="5" t="s">
        <v>358</v>
      </c>
      <c r="AJ97" s="6"/>
      <c r="AK97" s="6"/>
      <c r="AL97" s="6"/>
    </row>
    <row r="98" customFormat="false" ht="15" hidden="false" customHeight="false" outlineLevel="0" collapsed="false">
      <c r="A98" s="2" t="s">
        <v>138</v>
      </c>
      <c r="B98" s="2" t="s">
        <v>12</v>
      </c>
      <c r="C98" s="6"/>
      <c r="D98" s="6"/>
      <c r="E98" s="6"/>
      <c r="F98" s="6"/>
      <c r="G98" s="9" t="n">
        <v>20</v>
      </c>
      <c r="H98" s="6"/>
      <c r="I98" s="6"/>
      <c r="J98" s="6"/>
      <c r="K98" s="6"/>
      <c r="L98" s="6"/>
      <c r="M98" s="6"/>
      <c r="N98" s="6"/>
      <c r="O98" s="6"/>
      <c r="P98" s="6"/>
      <c r="Q98" s="9" t="n">
        <v>20</v>
      </c>
      <c r="R98" s="6"/>
      <c r="S98" s="6"/>
      <c r="T98" s="6"/>
      <c r="U98" s="6"/>
      <c r="V98" s="9" t="n">
        <v>20</v>
      </c>
      <c r="W98" s="6"/>
      <c r="X98" s="6"/>
      <c r="Y98" s="6"/>
      <c r="Z98" s="9" t="n">
        <v>20</v>
      </c>
      <c r="AA98" s="6"/>
      <c r="AB98" s="6"/>
      <c r="AC98" s="6"/>
      <c r="AD98" s="6"/>
      <c r="AE98" s="9" t="n">
        <v>20</v>
      </c>
      <c r="AF98" s="10" t="n">
        <f aca="false">IF(AG98&lt;&gt;"",AG98,SUM(G98,Q98,V98,Z98,AE98))</f>
        <v>100</v>
      </c>
      <c r="AG98" s="6"/>
      <c r="AH98" s="6"/>
      <c r="AI98" s="5" t="s">
        <v>358</v>
      </c>
      <c r="AJ98" s="6"/>
      <c r="AK98" s="6"/>
      <c r="AL98" s="6"/>
    </row>
    <row r="99" customFormat="false" ht="15" hidden="false" customHeight="false" outlineLevel="0" collapsed="false">
      <c r="A99" s="2" t="s">
        <v>139</v>
      </c>
      <c r="B99" s="2" t="s">
        <v>12</v>
      </c>
      <c r="C99" s="6"/>
      <c r="D99" s="6"/>
      <c r="E99" s="6"/>
      <c r="F99" s="6"/>
      <c r="G99" s="9" t="n">
        <v>20</v>
      </c>
      <c r="H99" s="6"/>
      <c r="I99" s="6"/>
      <c r="J99" s="6"/>
      <c r="K99" s="6"/>
      <c r="L99" s="6"/>
      <c r="M99" s="6"/>
      <c r="N99" s="6"/>
      <c r="O99" s="6"/>
      <c r="P99" s="6"/>
      <c r="Q99" s="9" t="n">
        <v>20</v>
      </c>
      <c r="R99" s="6"/>
      <c r="S99" s="6"/>
      <c r="T99" s="6"/>
      <c r="U99" s="6"/>
      <c r="V99" s="9" t="n">
        <v>20</v>
      </c>
      <c r="W99" s="6"/>
      <c r="X99" s="6"/>
      <c r="Y99" s="6"/>
      <c r="Z99" s="9" t="n">
        <v>20</v>
      </c>
      <c r="AA99" s="6"/>
      <c r="AB99" s="6"/>
      <c r="AC99" s="6"/>
      <c r="AD99" s="6"/>
      <c r="AE99" s="9" t="n">
        <v>20</v>
      </c>
      <c r="AF99" s="10" t="n">
        <f aca="false">IF(AG99&lt;&gt;"",AG99,SUM(G99,Q99,V99,Z99,AE99))</f>
        <v>100</v>
      </c>
      <c r="AG99" s="6"/>
      <c r="AH99" s="6"/>
      <c r="AI99" s="5" t="s">
        <v>358</v>
      </c>
      <c r="AJ99" s="6"/>
      <c r="AK99" s="6"/>
      <c r="AL99" s="6"/>
    </row>
    <row r="100" customFormat="false" ht="15" hidden="false" customHeight="false" outlineLevel="0" collapsed="false">
      <c r="A100" s="2" t="s">
        <v>140</v>
      </c>
      <c r="B100" s="2" t="s">
        <v>12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10" t="n">
        <f aca="false">IF(AG100&lt;&gt;"",AG100,SUM(G100,Q100,V100,Z100,AE100))</f>
        <v>0</v>
      </c>
      <c r="AG100" s="6"/>
      <c r="AH100" s="6"/>
      <c r="AI100" s="6"/>
      <c r="AJ100" s="6"/>
      <c r="AK100" s="6"/>
      <c r="AL100" s="6"/>
    </row>
    <row r="101" customFormat="false" ht="15" hidden="false" customHeight="false" outlineLevel="0" collapsed="false">
      <c r="A101" s="2" t="s">
        <v>141</v>
      </c>
      <c r="B101" s="2" t="s">
        <v>12</v>
      </c>
      <c r="C101" s="6"/>
      <c r="D101" s="6"/>
      <c r="E101" s="6"/>
      <c r="F101" s="6"/>
      <c r="G101" s="9" t="n">
        <v>16</v>
      </c>
      <c r="H101" s="6"/>
      <c r="I101" s="6"/>
      <c r="J101" s="6"/>
      <c r="K101" s="6"/>
      <c r="L101" s="6"/>
      <c r="M101" s="6"/>
      <c r="N101" s="6"/>
      <c r="O101" s="6"/>
      <c r="P101" s="6"/>
      <c r="Q101" s="9" t="n">
        <v>16</v>
      </c>
      <c r="R101" s="6"/>
      <c r="S101" s="6"/>
      <c r="T101" s="6"/>
      <c r="U101" s="6"/>
      <c r="V101" s="9" t="n">
        <v>16</v>
      </c>
      <c r="W101" s="6"/>
      <c r="X101" s="6"/>
      <c r="Y101" s="6"/>
      <c r="Z101" s="9" t="n">
        <v>16</v>
      </c>
      <c r="AA101" s="6"/>
      <c r="AB101" s="6"/>
      <c r="AC101" s="6"/>
      <c r="AD101" s="6"/>
      <c r="AE101" s="9" t="n">
        <v>16</v>
      </c>
      <c r="AF101" s="10" t="n">
        <f aca="false">IF(AG101&lt;&gt;"",AG101,SUM(G101,Q101,V101,Z101,AE101))</f>
        <v>80</v>
      </c>
      <c r="AG101" s="6"/>
      <c r="AH101" s="6"/>
      <c r="AI101" s="5" t="s">
        <v>358</v>
      </c>
      <c r="AJ101" s="6"/>
      <c r="AK101" s="6"/>
      <c r="AL101" s="6"/>
    </row>
    <row r="102" customFormat="false" ht="15" hidden="false" customHeight="false" outlineLevel="0" collapsed="false">
      <c r="A102" s="2" t="s">
        <v>142</v>
      </c>
      <c r="B102" s="2" t="s">
        <v>12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10" t="n">
        <f aca="false">IF(AG102&lt;&gt;"",AG102,SUM(G102,Q102,V102,Z102,AE102))</f>
        <v>0</v>
      </c>
      <c r="AG102" s="6"/>
      <c r="AH102" s="6"/>
      <c r="AI102" s="6"/>
      <c r="AJ102" s="6"/>
      <c r="AK102" s="6"/>
      <c r="AL102" s="6"/>
    </row>
    <row r="103" customFormat="false" ht="15" hidden="false" customHeight="false" outlineLevel="0" collapsed="false">
      <c r="A103" s="2" t="s">
        <v>143</v>
      </c>
      <c r="B103" s="2" t="s">
        <v>12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10" t="n">
        <f aca="false">IF(AG103&lt;&gt;"",AG103,SUM(G103,Q103,V103,Z103,AE103))</f>
        <v>0</v>
      </c>
      <c r="AG103" s="6"/>
      <c r="AH103" s="6"/>
      <c r="AI103" s="6"/>
      <c r="AJ103" s="6"/>
      <c r="AK103" s="6"/>
      <c r="AL103" s="6"/>
    </row>
    <row r="104" customFormat="false" ht="15" hidden="false" customHeight="false" outlineLevel="0" collapsed="false">
      <c r="A104" s="2" t="s">
        <v>144</v>
      </c>
      <c r="B104" s="2" t="s">
        <v>12</v>
      </c>
      <c r="C104" s="6"/>
      <c r="D104" s="6"/>
      <c r="E104" s="6"/>
      <c r="F104" s="6"/>
      <c r="G104" s="9" t="n">
        <v>16</v>
      </c>
      <c r="H104" s="6"/>
      <c r="I104" s="6"/>
      <c r="J104" s="6"/>
      <c r="K104" s="6"/>
      <c r="L104" s="6"/>
      <c r="M104" s="6"/>
      <c r="N104" s="6"/>
      <c r="O104" s="6"/>
      <c r="P104" s="6"/>
      <c r="Q104" s="9" t="n">
        <v>16</v>
      </c>
      <c r="R104" s="6"/>
      <c r="S104" s="6"/>
      <c r="T104" s="6"/>
      <c r="U104" s="6"/>
      <c r="V104" s="9" t="n">
        <v>16</v>
      </c>
      <c r="W104" s="6"/>
      <c r="X104" s="6"/>
      <c r="Y104" s="6"/>
      <c r="Z104" s="9" t="n">
        <v>16</v>
      </c>
      <c r="AA104" s="6"/>
      <c r="AB104" s="6"/>
      <c r="AC104" s="6"/>
      <c r="AD104" s="6"/>
      <c r="AE104" s="9" t="n">
        <v>16</v>
      </c>
      <c r="AF104" s="10" t="n">
        <f aca="false">IF(AG104&lt;&gt;"",AG104,SUM(G104,Q104,V104,Z104,AE104))</f>
        <v>80</v>
      </c>
      <c r="AG104" s="6"/>
      <c r="AH104" s="6"/>
      <c r="AI104" s="5" t="s">
        <v>358</v>
      </c>
      <c r="AJ104" s="6"/>
      <c r="AK104" s="6"/>
      <c r="AL104" s="6"/>
    </row>
    <row r="105" customFormat="false" ht="15" hidden="false" customHeight="false" outlineLevel="0" collapsed="false">
      <c r="A105" s="2" t="s">
        <v>145</v>
      </c>
      <c r="B105" s="2" t="s">
        <v>12</v>
      </c>
      <c r="C105" s="6"/>
      <c r="D105" s="6"/>
      <c r="E105" s="6"/>
      <c r="F105" s="6"/>
      <c r="G105" s="9" t="n">
        <v>16</v>
      </c>
      <c r="H105" s="6"/>
      <c r="I105" s="6"/>
      <c r="J105" s="6"/>
      <c r="K105" s="6"/>
      <c r="L105" s="6"/>
      <c r="M105" s="6"/>
      <c r="N105" s="6"/>
      <c r="O105" s="6"/>
      <c r="P105" s="6"/>
      <c r="Q105" s="9" t="n">
        <v>16</v>
      </c>
      <c r="R105" s="6"/>
      <c r="S105" s="6"/>
      <c r="T105" s="6"/>
      <c r="U105" s="6"/>
      <c r="V105" s="9" t="n">
        <v>16</v>
      </c>
      <c r="W105" s="6"/>
      <c r="X105" s="6"/>
      <c r="Y105" s="6"/>
      <c r="Z105" s="9" t="n">
        <v>16</v>
      </c>
      <c r="AA105" s="6"/>
      <c r="AB105" s="6"/>
      <c r="AC105" s="6"/>
      <c r="AD105" s="6"/>
      <c r="AE105" s="9" t="n">
        <v>16</v>
      </c>
      <c r="AF105" s="10" t="n">
        <f aca="false">IF(AG105&lt;&gt;"",AG105,SUM(G105,Q105,V105,Z105,AE105))</f>
        <v>80</v>
      </c>
      <c r="AG105" s="6"/>
      <c r="AH105" s="6"/>
      <c r="AI105" s="5" t="s">
        <v>358</v>
      </c>
      <c r="AJ105" s="6"/>
      <c r="AK105" s="6"/>
      <c r="AL105" s="6"/>
    </row>
    <row r="106" customFormat="false" ht="15" hidden="false" customHeight="false" outlineLevel="0" collapsed="false">
      <c r="A106" s="2" t="s">
        <v>146</v>
      </c>
      <c r="B106" s="2" t="s">
        <v>12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10" t="n">
        <f aca="false">IF(AG106&lt;&gt;"",AG106,SUM(G106,Q106,V106,Z106,AE106))</f>
        <v>0</v>
      </c>
      <c r="AG106" s="6"/>
      <c r="AH106" s="6"/>
      <c r="AI106" s="6"/>
      <c r="AJ106" s="6"/>
      <c r="AK106" s="6"/>
      <c r="AL106" s="6"/>
    </row>
    <row r="107" customFormat="false" ht="15" hidden="false" customHeight="false" outlineLevel="0" collapsed="false">
      <c r="A107" s="2" t="s">
        <v>147</v>
      </c>
      <c r="B107" s="2" t="s">
        <v>12</v>
      </c>
      <c r="C107" s="6"/>
      <c r="D107" s="6"/>
      <c r="E107" s="6"/>
      <c r="F107" s="6"/>
      <c r="G107" s="9" t="n">
        <v>20</v>
      </c>
      <c r="H107" s="6"/>
      <c r="I107" s="6"/>
      <c r="J107" s="6"/>
      <c r="K107" s="6"/>
      <c r="L107" s="6"/>
      <c r="M107" s="6"/>
      <c r="N107" s="6"/>
      <c r="O107" s="6"/>
      <c r="P107" s="6"/>
      <c r="Q107" s="9" t="n">
        <v>20</v>
      </c>
      <c r="R107" s="6"/>
      <c r="S107" s="6"/>
      <c r="T107" s="6"/>
      <c r="U107" s="6"/>
      <c r="V107" s="9" t="n">
        <v>20</v>
      </c>
      <c r="W107" s="6"/>
      <c r="X107" s="6"/>
      <c r="Y107" s="6"/>
      <c r="Z107" s="9" t="n">
        <v>20</v>
      </c>
      <c r="AA107" s="6"/>
      <c r="AB107" s="6"/>
      <c r="AC107" s="6"/>
      <c r="AD107" s="6"/>
      <c r="AE107" s="9" t="n">
        <v>20</v>
      </c>
      <c r="AF107" s="10" t="n">
        <f aca="false">IF(AG107&lt;&gt;"",AG107,SUM(G107,Q107,V107,Z107,AE107))</f>
        <v>100</v>
      </c>
      <c r="AG107" s="6"/>
      <c r="AH107" s="6"/>
      <c r="AI107" s="5" t="s">
        <v>358</v>
      </c>
      <c r="AJ107" s="6"/>
      <c r="AK107" s="6"/>
      <c r="AL107" s="6"/>
    </row>
    <row r="108" customFormat="false" ht="15" hidden="false" customHeight="false" outlineLevel="0" collapsed="false">
      <c r="A108" s="2" t="s">
        <v>148</v>
      </c>
      <c r="B108" s="2" t="s">
        <v>12</v>
      </c>
      <c r="C108" s="6"/>
      <c r="D108" s="6"/>
      <c r="E108" s="6"/>
      <c r="F108" s="6"/>
      <c r="G108" s="9" t="n">
        <v>20</v>
      </c>
      <c r="H108" s="6"/>
      <c r="I108" s="6"/>
      <c r="J108" s="6"/>
      <c r="K108" s="6"/>
      <c r="L108" s="6"/>
      <c r="M108" s="6"/>
      <c r="N108" s="6"/>
      <c r="O108" s="6"/>
      <c r="P108" s="6"/>
      <c r="Q108" s="9" t="n">
        <v>20</v>
      </c>
      <c r="R108" s="6"/>
      <c r="S108" s="6"/>
      <c r="T108" s="6"/>
      <c r="U108" s="6"/>
      <c r="V108" s="9" t="n">
        <v>20</v>
      </c>
      <c r="W108" s="6"/>
      <c r="X108" s="6"/>
      <c r="Y108" s="6"/>
      <c r="Z108" s="9" t="n">
        <v>20</v>
      </c>
      <c r="AA108" s="6"/>
      <c r="AB108" s="6"/>
      <c r="AC108" s="6"/>
      <c r="AD108" s="6"/>
      <c r="AE108" s="9" t="n">
        <v>20</v>
      </c>
      <c r="AF108" s="10" t="n">
        <f aca="false">IF(AG108&lt;&gt;"",AG108,SUM(G108,Q108,V108,Z108,AE108))</f>
        <v>100</v>
      </c>
      <c r="AG108" s="6"/>
      <c r="AH108" s="6"/>
      <c r="AI108" s="5" t="s">
        <v>358</v>
      </c>
      <c r="AJ108" s="6"/>
      <c r="AK108" s="6"/>
      <c r="AL108" s="6"/>
    </row>
    <row r="109" customFormat="false" ht="15" hidden="false" customHeight="false" outlineLevel="0" collapsed="false">
      <c r="A109" s="2" t="s">
        <v>149</v>
      </c>
      <c r="B109" s="2" t="s">
        <v>12</v>
      </c>
      <c r="C109" s="6"/>
      <c r="D109" s="6"/>
      <c r="E109" s="6"/>
      <c r="F109" s="6"/>
      <c r="G109" s="9" t="n">
        <v>20</v>
      </c>
      <c r="H109" s="6"/>
      <c r="I109" s="6"/>
      <c r="J109" s="6"/>
      <c r="K109" s="6"/>
      <c r="L109" s="6"/>
      <c r="M109" s="6"/>
      <c r="N109" s="6"/>
      <c r="O109" s="6"/>
      <c r="P109" s="6"/>
      <c r="Q109" s="9" t="n">
        <v>20</v>
      </c>
      <c r="R109" s="6"/>
      <c r="S109" s="6"/>
      <c r="T109" s="6"/>
      <c r="U109" s="6"/>
      <c r="V109" s="9" t="n">
        <v>20</v>
      </c>
      <c r="W109" s="6"/>
      <c r="X109" s="6"/>
      <c r="Y109" s="6"/>
      <c r="Z109" s="9" t="n">
        <v>20</v>
      </c>
      <c r="AA109" s="6"/>
      <c r="AB109" s="6"/>
      <c r="AC109" s="6"/>
      <c r="AD109" s="6"/>
      <c r="AE109" s="9" t="n">
        <v>20</v>
      </c>
      <c r="AF109" s="10" t="n">
        <f aca="false">IF(AG109&lt;&gt;"",AG109,SUM(G109,Q109,V109,Z109,AE109))</f>
        <v>100</v>
      </c>
      <c r="AG109" s="6"/>
      <c r="AH109" s="6"/>
      <c r="AI109" s="5" t="s">
        <v>358</v>
      </c>
      <c r="AJ109" s="6"/>
      <c r="AK109" s="6"/>
      <c r="AL109" s="6"/>
    </row>
    <row r="110" customFormat="false" ht="15" hidden="false" customHeight="false" outlineLevel="0" collapsed="false">
      <c r="A110" s="2" t="s">
        <v>150</v>
      </c>
      <c r="B110" s="2" t="s">
        <v>12</v>
      </c>
      <c r="C110" s="6"/>
      <c r="D110" s="6"/>
      <c r="E110" s="6"/>
      <c r="F110" s="6"/>
      <c r="G110" s="9" t="n">
        <v>16</v>
      </c>
      <c r="H110" s="6"/>
      <c r="I110" s="6"/>
      <c r="J110" s="6"/>
      <c r="K110" s="6"/>
      <c r="L110" s="6"/>
      <c r="M110" s="6"/>
      <c r="N110" s="6"/>
      <c r="O110" s="6"/>
      <c r="P110" s="6"/>
      <c r="Q110" s="9" t="n">
        <v>16</v>
      </c>
      <c r="R110" s="6"/>
      <c r="S110" s="6"/>
      <c r="T110" s="6"/>
      <c r="U110" s="6"/>
      <c r="V110" s="9" t="n">
        <v>16</v>
      </c>
      <c r="W110" s="6"/>
      <c r="X110" s="6"/>
      <c r="Y110" s="6"/>
      <c r="Z110" s="9" t="n">
        <v>16</v>
      </c>
      <c r="AA110" s="6"/>
      <c r="AB110" s="6"/>
      <c r="AC110" s="6"/>
      <c r="AD110" s="6"/>
      <c r="AE110" s="9" t="n">
        <v>16</v>
      </c>
      <c r="AF110" s="10" t="n">
        <f aca="false">IF(AG110&lt;&gt;"",AG110,SUM(G110,Q110,V110,Z110,AE110))</f>
        <v>80</v>
      </c>
      <c r="AG110" s="6"/>
      <c r="AH110" s="6"/>
      <c r="AI110" s="5" t="s">
        <v>358</v>
      </c>
      <c r="AJ110" s="6"/>
      <c r="AK110" s="6"/>
      <c r="AL110" s="6"/>
    </row>
    <row r="111" customFormat="false" ht="15" hidden="false" customHeight="false" outlineLevel="0" collapsed="false">
      <c r="A111" s="2" t="s">
        <v>151</v>
      </c>
      <c r="B111" s="2" t="s">
        <v>12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0" t="n">
        <f aca="false">IF(AG111&lt;&gt;"",AG111,SUM(G111,Q111,V111,Z111,AE111))</f>
        <v>0</v>
      </c>
      <c r="AG111" s="6"/>
      <c r="AH111" s="6"/>
      <c r="AI111" s="6"/>
      <c r="AJ111" s="6"/>
      <c r="AK111" s="6"/>
      <c r="AL111" s="6"/>
    </row>
    <row r="112" customFormat="false" ht="15" hidden="false" customHeight="false" outlineLevel="0" collapsed="false">
      <c r="A112" s="2" t="s">
        <v>152</v>
      </c>
      <c r="B112" s="2" t="s">
        <v>12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10" t="n">
        <f aca="false">IF(AG112&lt;&gt;"",AG112,SUM(G112,Q112,V112,Z112,AE112))</f>
        <v>0</v>
      </c>
      <c r="AG112" s="6"/>
      <c r="AH112" s="6"/>
      <c r="AI112" s="6"/>
      <c r="AJ112" s="6"/>
      <c r="AK112" s="6"/>
      <c r="AL112" s="6"/>
    </row>
    <row r="113" customFormat="false" ht="15" hidden="false" customHeight="false" outlineLevel="0" collapsed="false">
      <c r="A113" s="2" t="s">
        <v>154</v>
      </c>
      <c r="B113" s="2" t="s">
        <v>12</v>
      </c>
      <c r="C113" s="6"/>
      <c r="D113" s="6"/>
      <c r="E113" s="6"/>
      <c r="F113" s="6"/>
      <c r="G113" s="9" t="n">
        <v>16</v>
      </c>
      <c r="H113" s="6"/>
      <c r="I113" s="6"/>
      <c r="J113" s="6"/>
      <c r="K113" s="6"/>
      <c r="L113" s="6"/>
      <c r="M113" s="6"/>
      <c r="N113" s="6"/>
      <c r="O113" s="6"/>
      <c r="P113" s="6"/>
      <c r="Q113" s="9" t="n">
        <v>16</v>
      </c>
      <c r="R113" s="6"/>
      <c r="S113" s="6"/>
      <c r="T113" s="6"/>
      <c r="U113" s="6"/>
      <c r="V113" s="9" t="n">
        <v>16</v>
      </c>
      <c r="W113" s="6"/>
      <c r="X113" s="6"/>
      <c r="Y113" s="6"/>
      <c r="Z113" s="9" t="n">
        <v>16</v>
      </c>
      <c r="AA113" s="6"/>
      <c r="AB113" s="6"/>
      <c r="AC113" s="6"/>
      <c r="AD113" s="6"/>
      <c r="AE113" s="9" t="n">
        <v>16</v>
      </c>
      <c r="AF113" s="10" t="n">
        <f aca="false">IF(AG113&lt;&gt;"",AG113,SUM(G113,Q113,V113,Z113,AE113))</f>
        <v>80</v>
      </c>
      <c r="AG113" s="6"/>
      <c r="AH113" s="6"/>
      <c r="AI113" s="5" t="s">
        <v>358</v>
      </c>
      <c r="AJ113" s="6"/>
      <c r="AK113" s="6"/>
      <c r="AL113" s="6"/>
    </row>
    <row r="114" customFormat="false" ht="15" hidden="false" customHeight="false" outlineLevel="0" collapsed="false">
      <c r="A114" s="2" t="s">
        <v>155</v>
      </c>
      <c r="B114" s="2" t="s">
        <v>12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0" t="n">
        <f aca="false">IF(AG114&lt;&gt;"",AG114,SUM(G114,Q114,V114,Z114,AE114))</f>
        <v>0</v>
      </c>
      <c r="AG114" s="6"/>
      <c r="AH114" s="6"/>
      <c r="AI114" s="6"/>
      <c r="AJ114" s="6"/>
      <c r="AK114" s="6"/>
      <c r="AL114" s="6"/>
    </row>
    <row r="115" customFormat="false" ht="15" hidden="false" customHeight="false" outlineLevel="0" collapsed="false">
      <c r="A115" s="2" t="s">
        <v>157</v>
      </c>
      <c r="B115" s="2" t="s">
        <v>12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0" t="n">
        <f aca="false">IF(AG115&lt;&gt;"",AG115,SUM(G115,Q115,V115,Z115,AE115))</f>
        <v>0</v>
      </c>
      <c r="AG115" s="6"/>
      <c r="AH115" s="6"/>
      <c r="AI115" s="6"/>
      <c r="AJ115" s="6"/>
      <c r="AK115" s="6"/>
      <c r="AL115" s="6"/>
    </row>
    <row r="116" customFormat="false" ht="15" hidden="false" customHeight="false" outlineLevel="0" collapsed="false">
      <c r="A116" s="2" t="s">
        <v>158</v>
      </c>
      <c r="B116" s="2" t="s">
        <v>12</v>
      </c>
      <c r="C116" s="6"/>
      <c r="D116" s="6"/>
      <c r="E116" s="6"/>
      <c r="F116" s="6"/>
      <c r="G116" s="9" t="n">
        <v>20</v>
      </c>
      <c r="H116" s="6"/>
      <c r="I116" s="6"/>
      <c r="J116" s="6"/>
      <c r="K116" s="6"/>
      <c r="L116" s="6"/>
      <c r="M116" s="6"/>
      <c r="N116" s="6"/>
      <c r="O116" s="6"/>
      <c r="P116" s="6"/>
      <c r="Q116" s="9" t="n">
        <v>20</v>
      </c>
      <c r="R116" s="6"/>
      <c r="S116" s="6"/>
      <c r="T116" s="6"/>
      <c r="U116" s="6"/>
      <c r="V116" s="9" t="n">
        <v>20</v>
      </c>
      <c r="W116" s="6"/>
      <c r="X116" s="6"/>
      <c r="Y116" s="6"/>
      <c r="Z116" s="9" t="n">
        <v>20</v>
      </c>
      <c r="AA116" s="6"/>
      <c r="AB116" s="6"/>
      <c r="AC116" s="6"/>
      <c r="AD116" s="6"/>
      <c r="AE116" s="9" t="n">
        <v>20</v>
      </c>
      <c r="AF116" s="10" t="n">
        <f aca="false">IF(AG116&lt;&gt;"",AG116,SUM(G116,Q116,V116,Z116,AE116))</f>
        <v>100</v>
      </c>
      <c r="AG116" s="6"/>
      <c r="AH116" s="6"/>
      <c r="AI116" s="5" t="s">
        <v>358</v>
      </c>
      <c r="AJ116" s="6"/>
      <c r="AK116" s="6"/>
      <c r="AL116" s="6"/>
    </row>
    <row r="117" customFormat="false" ht="15" hidden="false" customHeight="false" outlineLevel="0" collapsed="false">
      <c r="A117" s="2" t="s">
        <v>159</v>
      </c>
      <c r="B117" s="2" t="s">
        <v>12</v>
      </c>
      <c r="C117" s="6"/>
      <c r="D117" s="6"/>
      <c r="E117" s="6"/>
      <c r="F117" s="6"/>
      <c r="G117" s="9" t="n">
        <v>20</v>
      </c>
      <c r="H117" s="6"/>
      <c r="I117" s="6"/>
      <c r="J117" s="6"/>
      <c r="K117" s="6"/>
      <c r="L117" s="6"/>
      <c r="M117" s="6"/>
      <c r="N117" s="6"/>
      <c r="O117" s="6"/>
      <c r="P117" s="6"/>
      <c r="Q117" s="9" t="n">
        <v>20</v>
      </c>
      <c r="R117" s="6"/>
      <c r="S117" s="6"/>
      <c r="T117" s="6"/>
      <c r="U117" s="6"/>
      <c r="V117" s="9" t="n">
        <v>20</v>
      </c>
      <c r="W117" s="6"/>
      <c r="X117" s="6"/>
      <c r="Y117" s="6"/>
      <c r="Z117" s="9" t="n">
        <v>20</v>
      </c>
      <c r="AA117" s="6"/>
      <c r="AB117" s="6"/>
      <c r="AC117" s="6"/>
      <c r="AD117" s="6"/>
      <c r="AE117" s="9" t="n">
        <v>20</v>
      </c>
      <c r="AF117" s="10" t="n">
        <f aca="false">IF(AG117&lt;&gt;"",AG117,SUM(G117,Q117,V117,Z117,AE117))</f>
        <v>100</v>
      </c>
      <c r="AG117" s="6"/>
      <c r="AH117" s="6"/>
      <c r="AI117" s="5" t="s">
        <v>358</v>
      </c>
      <c r="AJ117" s="6"/>
      <c r="AK117" s="6"/>
      <c r="AL117" s="6"/>
    </row>
    <row r="118" customFormat="false" ht="15" hidden="false" customHeight="false" outlineLevel="0" collapsed="false">
      <c r="A118" s="2" t="s">
        <v>160</v>
      </c>
      <c r="B118" s="2" t="s">
        <v>12</v>
      </c>
      <c r="C118" s="6"/>
      <c r="D118" s="6"/>
      <c r="E118" s="6"/>
      <c r="F118" s="6"/>
      <c r="G118" s="9" t="n">
        <v>20</v>
      </c>
      <c r="H118" s="6"/>
      <c r="I118" s="6"/>
      <c r="J118" s="6"/>
      <c r="K118" s="6"/>
      <c r="L118" s="6"/>
      <c r="M118" s="6"/>
      <c r="N118" s="6"/>
      <c r="O118" s="6"/>
      <c r="P118" s="6"/>
      <c r="Q118" s="9" t="n">
        <v>20</v>
      </c>
      <c r="R118" s="6"/>
      <c r="S118" s="6"/>
      <c r="T118" s="6"/>
      <c r="U118" s="6"/>
      <c r="V118" s="9" t="n">
        <v>20</v>
      </c>
      <c r="W118" s="6"/>
      <c r="X118" s="6"/>
      <c r="Y118" s="6"/>
      <c r="Z118" s="9" t="n">
        <v>20</v>
      </c>
      <c r="AA118" s="6"/>
      <c r="AB118" s="6"/>
      <c r="AC118" s="6"/>
      <c r="AD118" s="6"/>
      <c r="AE118" s="9" t="n">
        <v>20</v>
      </c>
      <c r="AF118" s="10" t="n">
        <f aca="false">IF(AG118&lt;&gt;"",AG118,SUM(G118,Q118,V118,Z118,AE118))</f>
        <v>100</v>
      </c>
      <c r="AG118" s="6"/>
      <c r="AH118" s="6"/>
      <c r="AI118" s="5" t="s">
        <v>358</v>
      </c>
      <c r="AJ118" s="6"/>
      <c r="AK118" s="6"/>
      <c r="AL118" s="6"/>
    </row>
    <row r="119" customFormat="false" ht="15" hidden="false" customHeight="false" outlineLevel="0" collapsed="false">
      <c r="A119" s="2" t="s">
        <v>161</v>
      </c>
      <c r="B119" s="2" t="s">
        <v>12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10" t="n">
        <f aca="false">IF(AG119&lt;&gt;"",AG119,SUM(G119,Q119,V119,Z119,AE119))</f>
        <v>0</v>
      </c>
      <c r="AG119" s="6"/>
      <c r="AH119" s="6"/>
      <c r="AI119" s="6"/>
      <c r="AJ119" s="6"/>
      <c r="AK119" s="6"/>
      <c r="AL119" s="6"/>
    </row>
    <row r="120" customFormat="false" ht="15" hidden="false" customHeight="false" outlineLevel="0" collapsed="false">
      <c r="A120" s="2" t="s">
        <v>162</v>
      </c>
      <c r="B120" s="2" t="s">
        <v>12</v>
      </c>
      <c r="C120" s="6"/>
      <c r="D120" s="6"/>
      <c r="E120" s="6"/>
      <c r="F120" s="6"/>
      <c r="G120" s="9" t="n">
        <v>14</v>
      </c>
      <c r="H120" s="6"/>
      <c r="I120" s="6"/>
      <c r="J120" s="6"/>
      <c r="K120" s="6"/>
      <c r="L120" s="6"/>
      <c r="M120" s="6"/>
      <c r="N120" s="6"/>
      <c r="O120" s="6"/>
      <c r="P120" s="6"/>
      <c r="Q120" s="9" t="n">
        <v>14</v>
      </c>
      <c r="R120" s="6"/>
      <c r="S120" s="6"/>
      <c r="T120" s="6"/>
      <c r="U120" s="6"/>
      <c r="V120" s="9" t="n">
        <v>14</v>
      </c>
      <c r="W120" s="6"/>
      <c r="X120" s="6"/>
      <c r="Y120" s="6"/>
      <c r="Z120" s="9" t="n">
        <v>14</v>
      </c>
      <c r="AA120" s="6"/>
      <c r="AB120" s="6"/>
      <c r="AC120" s="6"/>
      <c r="AD120" s="6"/>
      <c r="AE120" s="9" t="n">
        <v>14</v>
      </c>
      <c r="AF120" s="10" t="n">
        <f aca="false">IF(AG120&lt;&gt;"",AG120,SUM(G120,Q120,V120,Z120,AE120))</f>
        <v>70</v>
      </c>
      <c r="AG120" s="6"/>
      <c r="AH120" s="6"/>
      <c r="AI120" s="5" t="s">
        <v>358</v>
      </c>
      <c r="AJ120" s="6"/>
      <c r="AK120" s="6"/>
      <c r="AL120" s="6"/>
    </row>
    <row r="121" customFormat="false" ht="15" hidden="false" customHeight="false" outlineLevel="0" collapsed="false">
      <c r="A121" s="2" t="s">
        <v>163</v>
      </c>
      <c r="B121" s="2" t="s">
        <v>12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10" t="n">
        <f aca="false">IF(AG121&lt;&gt;"",AG121,SUM(G121,Q121,V121,Z121,AE121))</f>
        <v>0</v>
      </c>
      <c r="AG121" s="6"/>
      <c r="AH121" s="6"/>
      <c r="AI121" s="6"/>
      <c r="AJ121" s="6"/>
      <c r="AK121" s="6"/>
      <c r="AL121" s="6"/>
    </row>
    <row r="122" customFormat="false" ht="15" hidden="false" customHeight="false" outlineLevel="0" collapsed="false">
      <c r="A122" s="2" t="s">
        <v>164</v>
      </c>
      <c r="B122" s="2" t="s">
        <v>12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10" t="n">
        <f aca="false">IF(AG122&lt;&gt;"",AG122,SUM(G122,Q122,V122,Z122,AE122))</f>
        <v>0</v>
      </c>
      <c r="AG122" s="6"/>
      <c r="AH122" s="6"/>
      <c r="AI122" s="6"/>
      <c r="AJ122" s="6"/>
      <c r="AK122" s="6"/>
      <c r="AL122" s="6"/>
    </row>
    <row r="123" customFormat="false" ht="15" hidden="false" customHeight="false" outlineLevel="0" collapsed="false">
      <c r="A123" s="2" t="s">
        <v>166</v>
      </c>
      <c r="B123" s="2" t="s">
        <v>12</v>
      </c>
      <c r="C123" s="6"/>
      <c r="D123" s="6"/>
      <c r="E123" s="6"/>
      <c r="F123" s="6"/>
      <c r="G123" s="9" t="n">
        <v>14</v>
      </c>
      <c r="H123" s="6"/>
      <c r="I123" s="6"/>
      <c r="J123" s="6"/>
      <c r="K123" s="6"/>
      <c r="L123" s="6"/>
      <c r="M123" s="6"/>
      <c r="N123" s="6"/>
      <c r="O123" s="6"/>
      <c r="P123" s="6"/>
      <c r="Q123" s="9" t="n">
        <v>14</v>
      </c>
      <c r="R123" s="6"/>
      <c r="S123" s="6"/>
      <c r="T123" s="6"/>
      <c r="U123" s="6"/>
      <c r="V123" s="9" t="n">
        <v>14</v>
      </c>
      <c r="W123" s="6"/>
      <c r="X123" s="6"/>
      <c r="Y123" s="6"/>
      <c r="Z123" s="9" t="n">
        <v>14</v>
      </c>
      <c r="AA123" s="6"/>
      <c r="AB123" s="6"/>
      <c r="AC123" s="6"/>
      <c r="AD123" s="6"/>
      <c r="AE123" s="9" t="n">
        <v>14</v>
      </c>
      <c r="AF123" s="10" t="n">
        <f aca="false">IF(AG123&lt;&gt;"",AG123,SUM(G123,Q123,V123,Z123,AE123))</f>
        <v>70</v>
      </c>
      <c r="AG123" s="6"/>
      <c r="AH123" s="6"/>
      <c r="AI123" s="5" t="s">
        <v>358</v>
      </c>
      <c r="AJ123" s="6"/>
      <c r="AK123" s="6"/>
      <c r="AL123" s="6"/>
    </row>
    <row r="124" customFormat="false" ht="15" hidden="false" customHeight="false" outlineLevel="0" collapsed="false">
      <c r="A124" s="2" t="s">
        <v>168</v>
      </c>
      <c r="B124" s="2" t="s">
        <v>12</v>
      </c>
      <c r="C124" s="6"/>
      <c r="D124" s="6"/>
      <c r="E124" s="6"/>
      <c r="F124" s="6"/>
      <c r="G124" s="9" t="n">
        <v>20</v>
      </c>
      <c r="H124" s="6"/>
      <c r="I124" s="6"/>
      <c r="J124" s="6"/>
      <c r="K124" s="6"/>
      <c r="L124" s="6"/>
      <c r="M124" s="6"/>
      <c r="N124" s="6"/>
      <c r="O124" s="6"/>
      <c r="P124" s="6"/>
      <c r="Q124" s="9" t="n">
        <v>20</v>
      </c>
      <c r="R124" s="6"/>
      <c r="S124" s="6"/>
      <c r="T124" s="6"/>
      <c r="U124" s="6"/>
      <c r="V124" s="9" t="n">
        <v>20</v>
      </c>
      <c r="W124" s="6"/>
      <c r="X124" s="6"/>
      <c r="Y124" s="6"/>
      <c r="Z124" s="9" t="n">
        <v>20</v>
      </c>
      <c r="AA124" s="6"/>
      <c r="AB124" s="6"/>
      <c r="AC124" s="6"/>
      <c r="AD124" s="6"/>
      <c r="AE124" s="9" t="n">
        <v>20</v>
      </c>
      <c r="AF124" s="10" t="n">
        <f aca="false">IF(AG124&lt;&gt;"",AG124,SUM(G124,Q124,V124,Z124,AE124))</f>
        <v>100</v>
      </c>
      <c r="AG124" s="6"/>
      <c r="AH124" s="6"/>
      <c r="AI124" s="5" t="s">
        <v>358</v>
      </c>
      <c r="AJ124" s="6"/>
      <c r="AK124" s="6"/>
      <c r="AL124" s="6"/>
    </row>
    <row r="125" customFormat="false" ht="15" hidden="false" customHeight="false" outlineLevel="0" collapsed="false">
      <c r="A125" s="2" t="s">
        <v>170</v>
      </c>
      <c r="B125" s="2" t="s">
        <v>12</v>
      </c>
      <c r="C125" s="6"/>
      <c r="D125" s="6"/>
      <c r="E125" s="6"/>
      <c r="F125" s="6"/>
      <c r="G125" s="9" t="n">
        <v>14</v>
      </c>
      <c r="H125" s="6"/>
      <c r="I125" s="6"/>
      <c r="J125" s="6"/>
      <c r="K125" s="6"/>
      <c r="L125" s="6"/>
      <c r="M125" s="6"/>
      <c r="N125" s="6"/>
      <c r="O125" s="6"/>
      <c r="P125" s="6"/>
      <c r="Q125" s="9" t="n">
        <v>14</v>
      </c>
      <c r="R125" s="6"/>
      <c r="S125" s="6"/>
      <c r="T125" s="6"/>
      <c r="U125" s="6"/>
      <c r="V125" s="9" t="n">
        <v>14</v>
      </c>
      <c r="W125" s="6"/>
      <c r="X125" s="6"/>
      <c r="Y125" s="6"/>
      <c r="Z125" s="9" t="n">
        <v>14</v>
      </c>
      <c r="AA125" s="6"/>
      <c r="AB125" s="6"/>
      <c r="AC125" s="6"/>
      <c r="AD125" s="6"/>
      <c r="AE125" s="9" t="n">
        <v>14</v>
      </c>
      <c r="AF125" s="10" t="n">
        <f aca="false">IF(AG125&lt;&gt;"",AG125,SUM(G125,Q125,V125,Z125,AE125))</f>
        <v>70</v>
      </c>
      <c r="AG125" s="6"/>
      <c r="AH125" s="6"/>
      <c r="AI125" s="5" t="s">
        <v>358</v>
      </c>
      <c r="AJ125" s="6"/>
      <c r="AK125" s="6"/>
      <c r="AL125" s="6"/>
    </row>
    <row r="126" customFormat="false" ht="15" hidden="false" customHeight="false" outlineLevel="0" collapsed="false">
      <c r="A126" s="2" t="s">
        <v>171</v>
      </c>
      <c r="B126" s="2" t="s">
        <v>12</v>
      </c>
      <c r="C126" s="6"/>
      <c r="D126" s="6"/>
      <c r="E126" s="6"/>
      <c r="F126" s="6"/>
      <c r="G126" s="9" t="n">
        <v>14</v>
      </c>
      <c r="H126" s="6"/>
      <c r="I126" s="6"/>
      <c r="J126" s="6"/>
      <c r="K126" s="6"/>
      <c r="L126" s="6"/>
      <c r="M126" s="6"/>
      <c r="N126" s="6"/>
      <c r="O126" s="6"/>
      <c r="P126" s="6"/>
      <c r="Q126" s="9" t="n">
        <v>14</v>
      </c>
      <c r="R126" s="6"/>
      <c r="S126" s="6"/>
      <c r="T126" s="6"/>
      <c r="U126" s="6"/>
      <c r="V126" s="9" t="n">
        <v>14</v>
      </c>
      <c r="W126" s="6"/>
      <c r="X126" s="6"/>
      <c r="Y126" s="6"/>
      <c r="Z126" s="9" t="n">
        <v>14</v>
      </c>
      <c r="AA126" s="6"/>
      <c r="AB126" s="6"/>
      <c r="AC126" s="6"/>
      <c r="AD126" s="6"/>
      <c r="AE126" s="9" t="n">
        <v>14</v>
      </c>
      <c r="AF126" s="10" t="n">
        <f aca="false">IF(AG126&lt;&gt;"",AG126,SUM(G126,Q126,V126,Z126,AE126))</f>
        <v>70</v>
      </c>
      <c r="AG126" s="6"/>
      <c r="AH126" s="6"/>
      <c r="AI126" s="5" t="s">
        <v>358</v>
      </c>
      <c r="AJ126" s="6"/>
      <c r="AK126" s="6"/>
      <c r="AL126" s="6"/>
    </row>
    <row r="127" customFormat="false" ht="15" hidden="false" customHeight="false" outlineLevel="0" collapsed="false">
      <c r="A127" s="2" t="s">
        <v>172</v>
      </c>
      <c r="B127" s="2" t="s">
        <v>12</v>
      </c>
      <c r="C127" s="6"/>
      <c r="D127" s="6"/>
      <c r="E127" s="6"/>
      <c r="F127" s="6"/>
      <c r="G127" s="9" t="n">
        <v>20</v>
      </c>
      <c r="H127" s="6"/>
      <c r="I127" s="6"/>
      <c r="J127" s="6"/>
      <c r="K127" s="6"/>
      <c r="L127" s="6"/>
      <c r="M127" s="6"/>
      <c r="N127" s="6"/>
      <c r="O127" s="6"/>
      <c r="P127" s="6"/>
      <c r="Q127" s="9" t="n">
        <v>20</v>
      </c>
      <c r="R127" s="6"/>
      <c r="S127" s="6"/>
      <c r="T127" s="6"/>
      <c r="U127" s="6"/>
      <c r="V127" s="9" t="n">
        <v>20</v>
      </c>
      <c r="W127" s="6"/>
      <c r="X127" s="6"/>
      <c r="Y127" s="6"/>
      <c r="Z127" s="9" t="n">
        <v>20</v>
      </c>
      <c r="AA127" s="6"/>
      <c r="AB127" s="6"/>
      <c r="AC127" s="6"/>
      <c r="AD127" s="6"/>
      <c r="AE127" s="9" t="n">
        <v>20</v>
      </c>
      <c r="AF127" s="10" t="n">
        <f aca="false">IF(AG127&lt;&gt;"",AG127,SUM(G127,Q127,V127,Z127,AE127))</f>
        <v>100</v>
      </c>
      <c r="AG127" s="6"/>
      <c r="AH127" s="6"/>
      <c r="AI127" s="5" t="s">
        <v>358</v>
      </c>
      <c r="AJ127" s="6"/>
      <c r="AK127" s="6"/>
      <c r="AL127" s="6"/>
    </row>
    <row r="128" customFormat="false" ht="15" hidden="false" customHeight="false" outlineLevel="0" collapsed="false">
      <c r="A128" s="2" t="s">
        <v>173</v>
      </c>
      <c r="B128" s="2" t="s">
        <v>12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10" t="n">
        <f aca="false">IF(AG128&lt;&gt;"",AG128,SUM(G128,Q128,V128,Z128,AE128))</f>
        <v>0</v>
      </c>
      <c r="AG128" s="6"/>
      <c r="AH128" s="6"/>
      <c r="AI128" s="6"/>
      <c r="AJ128" s="6"/>
      <c r="AK128" s="6"/>
      <c r="AL128" s="6"/>
    </row>
    <row r="129" customFormat="false" ht="15" hidden="false" customHeight="false" outlineLevel="0" collapsed="false">
      <c r="A129" s="2" t="s">
        <v>174</v>
      </c>
      <c r="B129" s="2" t="s">
        <v>12</v>
      </c>
      <c r="C129" s="6"/>
      <c r="D129" s="6"/>
      <c r="E129" s="6"/>
      <c r="F129" s="6"/>
      <c r="G129" s="9" t="n">
        <v>4</v>
      </c>
      <c r="H129" s="6"/>
      <c r="I129" s="6"/>
      <c r="J129" s="6"/>
      <c r="K129" s="6"/>
      <c r="L129" s="6"/>
      <c r="M129" s="6"/>
      <c r="N129" s="6"/>
      <c r="O129" s="6"/>
      <c r="P129" s="6"/>
      <c r="Q129" s="9" t="n">
        <v>4</v>
      </c>
      <c r="R129" s="6"/>
      <c r="S129" s="6"/>
      <c r="T129" s="6"/>
      <c r="U129" s="6"/>
      <c r="V129" s="9" t="n">
        <v>4</v>
      </c>
      <c r="W129" s="6"/>
      <c r="X129" s="6"/>
      <c r="Y129" s="6"/>
      <c r="Z129" s="9" t="n">
        <v>4</v>
      </c>
      <c r="AA129" s="6"/>
      <c r="AB129" s="6"/>
      <c r="AC129" s="6"/>
      <c r="AD129" s="6"/>
      <c r="AE129" s="9" t="n">
        <v>4</v>
      </c>
      <c r="AF129" s="10" t="n">
        <f aca="false">IF(AG129&lt;&gt;"",AG129,SUM(G129,Q129,V129,Z129,AE129))</f>
        <v>20</v>
      </c>
      <c r="AG129" s="6"/>
      <c r="AH129" s="6"/>
      <c r="AI129" s="5" t="s">
        <v>358</v>
      </c>
      <c r="AJ129" s="6"/>
      <c r="AK129" s="6"/>
      <c r="AL129" s="6"/>
    </row>
    <row r="130" customFormat="false" ht="15" hidden="false" customHeight="false" outlineLevel="0" collapsed="false">
      <c r="A130" s="2" t="s">
        <v>176</v>
      </c>
      <c r="B130" s="2" t="s">
        <v>177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10" t="n">
        <f aca="false">IF(AG130&lt;&gt;"",AG130,SUM(G130,Q130,V130,Z130,AE130))</f>
        <v>0</v>
      </c>
      <c r="AG130" s="6"/>
      <c r="AH130" s="6"/>
      <c r="AI130" s="6"/>
      <c r="AJ130" s="6"/>
      <c r="AK130" s="6"/>
      <c r="AL130" s="6"/>
    </row>
    <row r="131" customFormat="false" ht="15" hidden="false" customHeight="false" outlineLevel="0" collapsed="false">
      <c r="A131" s="2" t="s">
        <v>178</v>
      </c>
      <c r="B131" s="2" t="s">
        <v>177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10" t="n">
        <f aca="false">IF(AG131&lt;&gt;"",AG131,SUM(G131,Q131,V131,Z131,AE131))</f>
        <v>0</v>
      </c>
      <c r="AG131" s="6"/>
      <c r="AH131" s="6"/>
      <c r="AI131" s="6"/>
      <c r="AJ131" s="6"/>
      <c r="AK131" s="6"/>
      <c r="AL131" s="6"/>
    </row>
    <row r="132" customFormat="false" ht="15" hidden="false" customHeight="false" outlineLevel="0" collapsed="false">
      <c r="A132" s="2" t="s">
        <v>180</v>
      </c>
      <c r="B132" s="2" t="s">
        <v>177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10" t="n">
        <f aca="false">IF(AG132&lt;&gt;"",AG132,SUM(G132,Q132,V132,Z132,AE132))</f>
        <v>0</v>
      </c>
      <c r="AG132" s="6"/>
      <c r="AH132" s="6"/>
      <c r="AI132" s="6"/>
      <c r="AJ132" s="6"/>
      <c r="AK132" s="6"/>
      <c r="AL132" s="6"/>
    </row>
    <row r="133" customFormat="false" ht="15" hidden="false" customHeight="false" outlineLevel="0" collapsed="false">
      <c r="A133" s="2" t="s">
        <v>182</v>
      </c>
      <c r="B133" s="2" t="s">
        <v>177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10" t="n">
        <f aca="false">IF(AG133&lt;&gt;"",AG133,SUM(G133,Q133,V133,Z133,AE133))</f>
        <v>0</v>
      </c>
      <c r="AG133" s="6"/>
      <c r="AH133" s="6"/>
      <c r="AI133" s="6"/>
      <c r="AJ133" s="6"/>
      <c r="AK133" s="6"/>
      <c r="AL133" s="6"/>
    </row>
    <row r="134" customFormat="false" ht="15" hidden="false" customHeight="false" outlineLevel="0" collapsed="false">
      <c r="A134" s="2" t="s">
        <v>184</v>
      </c>
      <c r="B134" s="2" t="s">
        <v>177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10" t="n">
        <f aca="false">IF(AG134&lt;&gt;"",AG134,SUM(G134,Q134,V134,Z134,AE134))</f>
        <v>0</v>
      </c>
      <c r="AG134" s="6"/>
      <c r="AH134" s="6"/>
      <c r="AI134" s="6"/>
      <c r="AJ134" s="6"/>
      <c r="AK134" s="6"/>
      <c r="AL134" s="6"/>
    </row>
    <row r="135" customFormat="false" ht="15" hidden="false" customHeight="false" outlineLevel="0" collapsed="false">
      <c r="A135" s="2" t="s">
        <v>186</v>
      </c>
      <c r="B135" s="2" t="s">
        <v>177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10" t="n">
        <f aca="false">IF(AG135&lt;&gt;"",AG135,SUM(G135,Q135,V135,Z135,AE135))</f>
        <v>0</v>
      </c>
      <c r="AG135" s="6"/>
      <c r="AH135" s="6"/>
      <c r="AI135" s="6"/>
      <c r="AJ135" s="6"/>
      <c r="AK135" s="6"/>
      <c r="AL135" s="6"/>
    </row>
    <row r="136" customFormat="false" ht="15" hidden="false" customHeight="false" outlineLevel="0" collapsed="false">
      <c r="A136" s="2" t="s">
        <v>37</v>
      </c>
      <c r="B136" s="2" t="s">
        <v>177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10" t="n">
        <f aca="false">IF(AG136&lt;&gt;"",AG136,SUM(G136,Q136,V136,Z136,AE136))</f>
        <v>0</v>
      </c>
      <c r="AG136" s="6"/>
      <c r="AH136" s="6"/>
      <c r="AI136" s="6"/>
      <c r="AJ136" s="6"/>
      <c r="AK136" s="6"/>
      <c r="AL136" s="6"/>
    </row>
    <row r="137" customFormat="false" ht="15" hidden="false" customHeight="false" outlineLevel="0" collapsed="false">
      <c r="A137" s="2" t="s">
        <v>188</v>
      </c>
      <c r="B137" s="2" t="s">
        <v>177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10" t="n">
        <f aca="false">IF(AG137&lt;&gt;"",AG137,SUM(G137,Q137,V137,Z137,AE137))</f>
        <v>0</v>
      </c>
      <c r="AG137" s="6"/>
      <c r="AH137" s="6"/>
      <c r="AI137" s="6"/>
      <c r="AJ137" s="6"/>
      <c r="AK137" s="6"/>
      <c r="AL137" s="6"/>
    </row>
    <row r="138" customFormat="false" ht="15" hidden="false" customHeight="false" outlineLevel="0" collapsed="false">
      <c r="A138" s="2" t="s">
        <v>189</v>
      </c>
      <c r="B138" s="2" t="s">
        <v>177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10" t="n">
        <f aca="false">IF(AG138&lt;&gt;"",AG138,SUM(G138,Q138,V138,Z138,AE138))</f>
        <v>0</v>
      </c>
      <c r="AG138" s="6"/>
      <c r="AH138" s="6"/>
      <c r="AI138" s="6"/>
      <c r="AJ138" s="6"/>
      <c r="AK138" s="6"/>
      <c r="AL138" s="6"/>
    </row>
    <row r="139" customFormat="false" ht="15" hidden="false" customHeight="false" outlineLevel="0" collapsed="false">
      <c r="A139" s="2" t="s">
        <v>190</v>
      </c>
      <c r="B139" s="2" t="s">
        <v>177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10" t="n">
        <f aca="false">IF(AG139&lt;&gt;"",AG139,SUM(G139,Q139,V139,Z139,AE139))</f>
        <v>0</v>
      </c>
      <c r="AG139" s="6"/>
      <c r="AH139" s="6"/>
      <c r="AI139" s="6"/>
      <c r="AJ139" s="6"/>
      <c r="AK139" s="6"/>
      <c r="AL139" s="6"/>
    </row>
    <row r="140" customFormat="false" ht="15" hidden="false" customHeight="false" outlineLevel="0" collapsed="false">
      <c r="A140" s="2" t="s">
        <v>191</v>
      </c>
      <c r="B140" s="2" t="s">
        <v>177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10" t="n">
        <f aca="false">IF(AG140&lt;&gt;"",AG140,SUM(G140,Q140,V140,Z140,AE140))</f>
        <v>0</v>
      </c>
      <c r="AG140" s="6"/>
      <c r="AH140" s="6"/>
      <c r="AI140" s="6"/>
      <c r="AJ140" s="6"/>
      <c r="AK140" s="6"/>
      <c r="AL140" s="6"/>
    </row>
    <row r="141" customFormat="false" ht="15" hidden="false" customHeight="false" outlineLevel="0" collapsed="false">
      <c r="A141" s="2" t="s">
        <v>193</v>
      </c>
      <c r="B141" s="2" t="s">
        <v>177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10" t="n">
        <f aca="false">IF(AG141&lt;&gt;"",AG141,SUM(G141,Q141,V141,Z141,AE141))</f>
        <v>0</v>
      </c>
      <c r="AG141" s="6"/>
      <c r="AH141" s="6"/>
      <c r="AI141" s="6"/>
      <c r="AJ141" s="6"/>
      <c r="AK141" s="6"/>
      <c r="AL141" s="6"/>
    </row>
    <row r="142" customFormat="false" ht="15" hidden="false" customHeight="false" outlineLevel="0" collapsed="false">
      <c r="A142" s="2" t="s">
        <v>195</v>
      </c>
      <c r="B142" s="2" t="s">
        <v>177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10" t="n">
        <f aca="false">IF(AG142&lt;&gt;"",AG142,SUM(G142,Q142,V142,Z142,AE142))</f>
        <v>0</v>
      </c>
      <c r="AG142" s="6"/>
      <c r="AH142" s="6"/>
      <c r="AI142" s="6"/>
      <c r="AJ142" s="6"/>
      <c r="AK142" s="6"/>
      <c r="AL142" s="6"/>
    </row>
    <row r="143" customFormat="false" ht="15" hidden="false" customHeight="false" outlineLevel="0" collapsed="false">
      <c r="A143" s="2" t="s">
        <v>197</v>
      </c>
      <c r="B143" s="2" t="s">
        <v>177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10" t="n">
        <f aca="false">IF(AG143&lt;&gt;"",AG143,SUM(G143,Q143,V143,Z143,AE143))</f>
        <v>0</v>
      </c>
      <c r="AG143" s="6"/>
      <c r="AH143" s="6"/>
      <c r="AI143" s="6"/>
      <c r="AJ143" s="6"/>
      <c r="AK143" s="6"/>
      <c r="AL143" s="6"/>
    </row>
    <row r="144" customFormat="false" ht="15" hidden="false" customHeight="false" outlineLevel="0" collapsed="false">
      <c r="A144" s="2" t="s">
        <v>199</v>
      </c>
      <c r="B144" s="2" t="s">
        <v>177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10" t="n">
        <f aca="false">IF(AG144&lt;&gt;"",AG144,SUM(G144,Q144,V144,Z144,AE144))</f>
        <v>0</v>
      </c>
      <c r="AG144" s="6"/>
      <c r="AH144" s="6"/>
      <c r="AI144" s="6"/>
      <c r="AJ144" s="6"/>
      <c r="AK144" s="6"/>
      <c r="AL144" s="6"/>
    </row>
    <row r="145" customFormat="false" ht="15" hidden="false" customHeight="false" outlineLevel="0" collapsed="false">
      <c r="A145" s="2" t="s">
        <v>201</v>
      </c>
      <c r="B145" s="2" t="s">
        <v>177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10" t="n">
        <f aca="false">IF(AG145&lt;&gt;"",AG145,SUM(G145,Q145,V145,Z145,AE145))</f>
        <v>0</v>
      </c>
      <c r="AG145" s="6"/>
      <c r="AH145" s="6"/>
      <c r="AI145" s="6"/>
      <c r="AJ145" s="6"/>
      <c r="AK145" s="6"/>
      <c r="AL145" s="6"/>
    </row>
    <row r="146" customFormat="false" ht="15" hidden="false" customHeight="false" outlineLevel="0" collapsed="false">
      <c r="A146" s="2" t="s">
        <v>202</v>
      </c>
      <c r="B146" s="2" t="s">
        <v>177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10" t="n">
        <f aca="false">IF(AG146&lt;&gt;"",AG146,SUM(G146,Q146,V146,Z146,AE146))</f>
        <v>0</v>
      </c>
      <c r="AG146" s="6"/>
      <c r="AH146" s="6"/>
      <c r="AI146" s="6"/>
      <c r="AJ146" s="6"/>
      <c r="AK146" s="6"/>
      <c r="AL146" s="6"/>
    </row>
    <row r="147" customFormat="false" ht="15" hidden="false" customHeight="false" outlineLevel="0" collapsed="false">
      <c r="A147" s="2" t="s">
        <v>203</v>
      </c>
      <c r="B147" s="2" t="s">
        <v>177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10" t="n">
        <f aca="false">IF(AG147&lt;&gt;"",AG147,SUM(G147,Q147,V147,Z147,AE147))</f>
        <v>0</v>
      </c>
      <c r="AG147" s="6"/>
      <c r="AH147" s="6"/>
      <c r="AI147" s="6"/>
      <c r="AJ147" s="6"/>
      <c r="AK147" s="6"/>
      <c r="AL147" s="6"/>
    </row>
    <row r="148" customFormat="false" ht="15" hidden="false" customHeight="false" outlineLevel="0" collapsed="false">
      <c r="A148" s="2" t="s">
        <v>204</v>
      </c>
      <c r="B148" s="2" t="s">
        <v>177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10" t="n">
        <f aca="false">IF(AG148&lt;&gt;"",AG148,SUM(G148,Q148,V148,Z148,AE148))</f>
        <v>0</v>
      </c>
      <c r="AG148" s="6"/>
      <c r="AH148" s="6"/>
      <c r="AI148" s="6"/>
      <c r="AJ148" s="6"/>
      <c r="AK148" s="6"/>
      <c r="AL148" s="6"/>
    </row>
    <row r="149" customFormat="false" ht="15" hidden="false" customHeight="false" outlineLevel="0" collapsed="false">
      <c r="A149" s="2" t="s">
        <v>205</v>
      </c>
      <c r="B149" s="2" t="s">
        <v>177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10" t="n">
        <f aca="false">IF(AG149&lt;&gt;"",AG149,SUM(G149,Q149,V149,Z149,AE149))</f>
        <v>0</v>
      </c>
      <c r="AG149" s="6"/>
      <c r="AH149" s="6"/>
      <c r="AI149" s="6"/>
      <c r="AJ149" s="6"/>
      <c r="AK149" s="6"/>
      <c r="AL149" s="6"/>
    </row>
    <row r="150" customFormat="false" ht="15" hidden="false" customHeight="false" outlineLevel="0" collapsed="false">
      <c r="A150" s="2" t="s">
        <v>207</v>
      </c>
      <c r="B150" s="2" t="s">
        <v>177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10" t="n">
        <f aca="false">IF(AG150&lt;&gt;"",AG150,SUM(G150,Q150,V150,Z150,AE150))</f>
        <v>0</v>
      </c>
      <c r="AG150" s="6"/>
      <c r="AH150" s="6"/>
      <c r="AI150" s="6"/>
      <c r="AJ150" s="6"/>
      <c r="AK150" s="6"/>
      <c r="AL150" s="6"/>
    </row>
    <row r="151" customFormat="false" ht="15" hidden="false" customHeight="false" outlineLevel="0" collapsed="false">
      <c r="A151" s="2" t="s">
        <v>209</v>
      </c>
      <c r="B151" s="2" t="s">
        <v>177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10" t="n">
        <f aca="false">IF(AG151&lt;&gt;"",AG151,SUM(G151,Q151,V151,Z151,AE151))</f>
        <v>0</v>
      </c>
      <c r="AG151" s="6"/>
      <c r="AH151" s="6"/>
      <c r="AI151" s="6"/>
      <c r="AJ151" s="6"/>
      <c r="AK151" s="6"/>
      <c r="AL151" s="6"/>
    </row>
    <row r="152" customFormat="false" ht="15" hidden="false" customHeight="false" outlineLevel="0" collapsed="false">
      <c r="A152" s="2" t="s">
        <v>210</v>
      </c>
      <c r="B152" s="2" t="s">
        <v>177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10" t="n">
        <f aca="false">IF(AG152&lt;&gt;"",AG152,SUM(G152,Q152,V152,Z152,AE152))</f>
        <v>0</v>
      </c>
      <c r="AG152" s="6"/>
      <c r="AH152" s="6"/>
      <c r="AI152" s="6"/>
      <c r="AJ152" s="6"/>
      <c r="AK152" s="6"/>
      <c r="AL152" s="6"/>
    </row>
    <row r="153" customFormat="false" ht="15" hidden="false" customHeight="false" outlineLevel="0" collapsed="false">
      <c r="A153" s="2" t="s">
        <v>211</v>
      </c>
      <c r="B153" s="2" t="s">
        <v>177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10" t="n">
        <f aca="false">IF(AG153&lt;&gt;"",AG153,SUM(G153,Q153,V153,Z153,AE153))</f>
        <v>0</v>
      </c>
      <c r="AG153" s="6"/>
      <c r="AH153" s="6"/>
      <c r="AI153" s="6"/>
      <c r="AJ153" s="6"/>
      <c r="AK153" s="6"/>
      <c r="AL153" s="6"/>
    </row>
    <row r="154" customFormat="false" ht="15" hidden="false" customHeight="false" outlineLevel="0" collapsed="false">
      <c r="A154" s="2" t="s">
        <v>213</v>
      </c>
      <c r="B154" s="2" t="s">
        <v>177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10" t="n">
        <f aca="false">IF(AG154&lt;&gt;"",AG154,SUM(G154,Q154,V154,Z154,AE154))</f>
        <v>0</v>
      </c>
      <c r="AG154" s="6"/>
      <c r="AH154" s="6"/>
      <c r="AI154" s="6"/>
      <c r="AJ154" s="6"/>
      <c r="AK154" s="6"/>
      <c r="AL154" s="6"/>
    </row>
    <row r="155" customFormat="false" ht="15" hidden="false" customHeight="false" outlineLevel="0" collapsed="false">
      <c r="A155" s="2" t="s">
        <v>215</v>
      </c>
      <c r="B155" s="2" t="s">
        <v>177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10" t="n">
        <f aca="false">IF(AG155&lt;&gt;"",AG155,SUM(G155,Q155,V155,Z155,AE155))</f>
        <v>0</v>
      </c>
      <c r="AG155" s="6"/>
      <c r="AH155" s="6"/>
      <c r="AI155" s="6"/>
      <c r="AJ155" s="6"/>
      <c r="AK155" s="6"/>
      <c r="AL155" s="6"/>
    </row>
    <row r="156" customFormat="false" ht="15" hidden="false" customHeight="false" outlineLevel="0" collapsed="false">
      <c r="A156" s="2" t="s">
        <v>216</v>
      </c>
      <c r="B156" s="2" t="s">
        <v>177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10" t="n">
        <f aca="false">IF(AG156&lt;&gt;"",AG156,SUM(G156,Q156,V156,Z156,AE156))</f>
        <v>0</v>
      </c>
      <c r="AG156" s="6"/>
      <c r="AH156" s="6"/>
      <c r="AI156" s="6"/>
      <c r="AJ156" s="6"/>
      <c r="AK156" s="6"/>
      <c r="AL156" s="6"/>
    </row>
    <row r="157" customFormat="false" ht="15" hidden="false" customHeight="false" outlineLevel="0" collapsed="false">
      <c r="A157" s="2" t="s">
        <v>218</v>
      </c>
      <c r="B157" s="2" t="s">
        <v>177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10" t="n">
        <f aca="false">IF(AG157&lt;&gt;"",AG157,SUM(G157,Q157,V157,Z157,AE157))</f>
        <v>0</v>
      </c>
      <c r="AG157" s="6"/>
      <c r="AH157" s="6"/>
      <c r="AI157" s="6"/>
      <c r="AJ157" s="6"/>
      <c r="AK157" s="6"/>
      <c r="AL157" s="6"/>
    </row>
    <row r="158" customFormat="false" ht="15" hidden="false" customHeight="false" outlineLevel="0" collapsed="false">
      <c r="A158" s="2" t="s">
        <v>219</v>
      </c>
      <c r="B158" s="2" t="s">
        <v>177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10" t="n">
        <f aca="false">IF(AG158&lt;&gt;"",AG158,SUM(G158,Q158,V158,Z158,AE158))</f>
        <v>0</v>
      </c>
      <c r="AG158" s="6"/>
      <c r="AH158" s="6"/>
      <c r="AI158" s="6"/>
      <c r="AJ158" s="6"/>
      <c r="AK158" s="6"/>
      <c r="AL158" s="6"/>
    </row>
    <row r="159" customFormat="false" ht="15" hidden="false" customHeight="false" outlineLevel="0" collapsed="false">
      <c r="A159" s="2" t="s">
        <v>69</v>
      </c>
      <c r="B159" s="2" t="s">
        <v>177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10" t="n">
        <f aca="false">IF(AG159&lt;&gt;"",AG159,SUM(G159,Q159,V159,Z159,AE159))</f>
        <v>0</v>
      </c>
      <c r="AG159" s="6"/>
      <c r="AH159" s="6"/>
      <c r="AI159" s="6"/>
      <c r="AJ159" s="6"/>
      <c r="AK159" s="6"/>
      <c r="AL159" s="6"/>
    </row>
    <row r="160" customFormat="false" ht="15" hidden="false" customHeight="false" outlineLevel="0" collapsed="false">
      <c r="A160" s="2" t="s">
        <v>221</v>
      </c>
      <c r="B160" s="2" t="s">
        <v>177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10" t="n">
        <f aca="false">IF(AG160&lt;&gt;"",AG160,SUM(G160,Q160,V160,Z160,AE160))</f>
        <v>0</v>
      </c>
      <c r="AG160" s="6"/>
      <c r="AH160" s="6"/>
      <c r="AI160" s="6"/>
      <c r="AJ160" s="6"/>
      <c r="AK160" s="6"/>
      <c r="AL160" s="6"/>
    </row>
    <row r="161" customFormat="false" ht="15" hidden="false" customHeight="false" outlineLevel="0" collapsed="false">
      <c r="A161" s="2" t="s">
        <v>223</v>
      </c>
      <c r="B161" s="2" t="s">
        <v>177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10" t="n">
        <f aca="false">IF(AG161&lt;&gt;"",AG161,SUM(G161,Q161,V161,Z161,AE161))</f>
        <v>0</v>
      </c>
      <c r="AG161" s="6"/>
      <c r="AH161" s="6"/>
      <c r="AI161" s="6"/>
      <c r="AJ161" s="6"/>
      <c r="AK161" s="6"/>
      <c r="AL161" s="6"/>
    </row>
    <row r="162" customFormat="false" ht="15" hidden="false" customHeight="false" outlineLevel="0" collapsed="false">
      <c r="A162" s="2" t="s">
        <v>224</v>
      </c>
      <c r="B162" s="2" t="s">
        <v>177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10" t="n">
        <f aca="false">IF(AG162&lt;&gt;"",AG162,SUM(G162,Q162,V162,Z162,AE162))</f>
        <v>0</v>
      </c>
      <c r="AG162" s="6"/>
      <c r="AH162" s="6"/>
      <c r="AI162" s="6"/>
      <c r="AJ162" s="6"/>
      <c r="AK162" s="6"/>
      <c r="AL162" s="6"/>
    </row>
    <row r="163" customFormat="false" ht="15" hidden="false" customHeight="false" outlineLevel="0" collapsed="false">
      <c r="A163" s="2" t="s">
        <v>225</v>
      </c>
      <c r="B163" s="2" t="s">
        <v>177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10" t="n">
        <f aca="false">IF(AG163&lt;&gt;"",AG163,SUM(G163,Q163,V163,Z163,AE163))</f>
        <v>0</v>
      </c>
      <c r="AG163" s="6"/>
      <c r="AH163" s="6"/>
      <c r="AI163" s="6"/>
      <c r="AJ163" s="6"/>
      <c r="AK163" s="6"/>
      <c r="AL163" s="6"/>
    </row>
    <row r="164" customFormat="false" ht="15" hidden="false" customHeight="false" outlineLevel="0" collapsed="false">
      <c r="A164" s="2" t="s">
        <v>226</v>
      </c>
      <c r="B164" s="2" t="s">
        <v>177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10" t="n">
        <f aca="false">IF(AG164&lt;&gt;"",AG164,SUM(G164,Q164,V164,Z164,AE164))</f>
        <v>0</v>
      </c>
      <c r="AG164" s="6"/>
      <c r="AH164" s="6"/>
      <c r="AI164" s="6"/>
      <c r="AJ164" s="6"/>
      <c r="AK164" s="6"/>
      <c r="AL164" s="6"/>
    </row>
    <row r="165" customFormat="false" ht="15" hidden="false" customHeight="false" outlineLevel="0" collapsed="false">
      <c r="A165" s="2" t="s">
        <v>227</v>
      </c>
      <c r="B165" s="2" t="s">
        <v>177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10" t="n">
        <f aca="false">IF(AG165&lt;&gt;"",AG165,SUM(G165,Q165,V165,Z165,AE165))</f>
        <v>0</v>
      </c>
      <c r="AG165" s="6"/>
      <c r="AH165" s="6"/>
      <c r="AI165" s="6"/>
      <c r="AJ165" s="6"/>
      <c r="AK165" s="6"/>
      <c r="AL165" s="6"/>
    </row>
    <row r="166" customFormat="false" ht="15" hidden="false" customHeight="false" outlineLevel="0" collapsed="false">
      <c r="A166" s="2" t="s">
        <v>228</v>
      </c>
      <c r="B166" s="2" t="s">
        <v>177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10" t="n">
        <f aca="false">IF(AG166&lt;&gt;"",AG166,SUM(G166,Q166,V166,Z166,AE166))</f>
        <v>0</v>
      </c>
      <c r="AG166" s="6"/>
      <c r="AH166" s="6"/>
      <c r="AI166" s="6"/>
      <c r="AJ166" s="6"/>
      <c r="AK166" s="6"/>
      <c r="AL166" s="6"/>
    </row>
    <row r="167" customFormat="false" ht="15" hidden="false" customHeight="false" outlineLevel="0" collapsed="false">
      <c r="A167" s="2" t="s">
        <v>152</v>
      </c>
      <c r="B167" s="2" t="s">
        <v>177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10" t="n">
        <f aca="false">IF(AG167&lt;&gt;"",AG167,SUM(G167,Q167,V167,Z167,AE167))</f>
        <v>0</v>
      </c>
      <c r="AG167" s="6"/>
      <c r="AH167" s="6"/>
      <c r="AI167" s="6"/>
      <c r="AJ167" s="6"/>
      <c r="AK167" s="6"/>
      <c r="AL167" s="6"/>
    </row>
    <row r="168" customFormat="false" ht="15" hidden="false" customHeight="false" outlineLevel="0" collapsed="false">
      <c r="A168" s="2" t="s">
        <v>231</v>
      </c>
      <c r="B168" s="2" t="s">
        <v>177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10" t="n">
        <f aca="false">IF(AG168&lt;&gt;"",AG168,SUM(G168,Q168,V168,Z168,AE168))</f>
        <v>0</v>
      </c>
      <c r="AG168" s="6"/>
      <c r="AH168" s="6"/>
      <c r="AI168" s="6"/>
      <c r="AJ168" s="6"/>
      <c r="AK168" s="6"/>
      <c r="AL168" s="6"/>
    </row>
    <row r="169" customFormat="false" ht="15" hidden="false" customHeight="false" outlineLevel="0" collapsed="false">
      <c r="A169" s="2" t="s">
        <v>232</v>
      </c>
      <c r="B169" s="2" t="s">
        <v>177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10" t="n">
        <f aca="false">IF(AG169&lt;&gt;"",AG169,SUM(G169,Q169,V169,Z169,AE169))</f>
        <v>0</v>
      </c>
      <c r="AG169" s="6"/>
      <c r="AH169" s="6"/>
      <c r="AI169" s="6"/>
      <c r="AJ169" s="6"/>
      <c r="AK169" s="6"/>
      <c r="AL169" s="6"/>
    </row>
    <row r="170" customFormat="false" ht="15" hidden="false" customHeight="false" outlineLevel="0" collapsed="false">
      <c r="A170" s="2" t="s">
        <v>233</v>
      </c>
      <c r="B170" s="2" t="s">
        <v>177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10" t="n">
        <f aca="false">IF(AG170&lt;&gt;"",AG170,SUM(G170,Q170,V170,Z170,AE170))</f>
        <v>0</v>
      </c>
      <c r="AG170" s="6"/>
      <c r="AH170" s="6"/>
      <c r="AI170" s="6"/>
      <c r="AJ170" s="6"/>
      <c r="AK170" s="6"/>
      <c r="AL170" s="6"/>
    </row>
    <row r="171" customFormat="false" ht="15" hidden="false" customHeight="false" outlineLevel="0" collapsed="false">
      <c r="A171" s="2" t="s">
        <v>234</v>
      </c>
      <c r="B171" s="2" t="s">
        <v>177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10" t="n">
        <f aca="false">IF(AG171&lt;&gt;"",AG171,SUM(G171,Q171,V171,Z171,AE171))</f>
        <v>0</v>
      </c>
      <c r="AG171" s="6"/>
      <c r="AH171" s="6"/>
      <c r="AI171" s="6"/>
      <c r="AJ171" s="6"/>
      <c r="AK171" s="6"/>
      <c r="AL171" s="6"/>
    </row>
    <row r="172" customFormat="false" ht="15" hidden="false" customHeight="false" outlineLevel="0" collapsed="false">
      <c r="A172" s="2" t="s">
        <v>235</v>
      </c>
      <c r="B172" s="2" t="s">
        <v>177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10" t="n">
        <f aca="false">IF(AG172&lt;&gt;"",AG172,SUM(G172,Q172,V172,Z172,AE172))</f>
        <v>0</v>
      </c>
      <c r="AG172" s="6"/>
      <c r="AH172" s="6"/>
      <c r="AI172" s="6"/>
      <c r="AJ172" s="6"/>
      <c r="AK172" s="6"/>
      <c r="AL172" s="6"/>
    </row>
    <row r="173" customFormat="false" ht="15" hidden="false" customHeight="false" outlineLevel="0" collapsed="false">
      <c r="A173" s="2" t="s">
        <v>236</v>
      </c>
      <c r="B173" s="2" t="s">
        <v>177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10" t="n">
        <f aca="false">IF(AG173&lt;&gt;"",AG173,SUM(G173,Q173,V173,Z173,AE173))</f>
        <v>0</v>
      </c>
      <c r="AG173" s="6"/>
      <c r="AH173" s="6"/>
      <c r="AI173" s="6"/>
      <c r="AJ173" s="6"/>
      <c r="AK173" s="6"/>
      <c r="AL173" s="6"/>
    </row>
    <row r="174" customFormat="false" ht="15" hidden="false" customHeight="false" outlineLevel="0" collapsed="false">
      <c r="A174" s="2" t="s">
        <v>237</v>
      </c>
      <c r="B174" s="2" t="s">
        <v>177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10" t="n">
        <f aca="false">IF(AG174&lt;&gt;"",AG174,SUM(G174,Q174,V174,Z174,AE174))</f>
        <v>0</v>
      </c>
      <c r="AG174" s="6"/>
      <c r="AH174" s="6"/>
      <c r="AI174" s="6"/>
      <c r="AJ174" s="6"/>
      <c r="AK174" s="6"/>
      <c r="AL174" s="6"/>
    </row>
    <row r="175" customFormat="false" ht="15" hidden="false" customHeight="false" outlineLevel="0" collapsed="false">
      <c r="A175" s="2" t="s">
        <v>239</v>
      </c>
      <c r="B175" s="2" t="s">
        <v>177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10" t="n">
        <f aca="false">IF(AG175&lt;&gt;"",AG175,SUM(G175,Q175,V175,Z175,AE175))</f>
        <v>0</v>
      </c>
      <c r="AG175" s="6"/>
      <c r="AH175" s="6"/>
      <c r="AI175" s="6"/>
      <c r="AJ175" s="6"/>
      <c r="AK175" s="6"/>
      <c r="AL175" s="6"/>
    </row>
    <row r="176" customFormat="false" ht="15" hidden="false" customHeight="false" outlineLevel="0" collapsed="false">
      <c r="A176" s="2" t="s">
        <v>240</v>
      </c>
      <c r="B176" s="2" t="s">
        <v>177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10" t="n">
        <f aca="false">IF(AG176&lt;&gt;"",AG176,SUM(G176,Q176,V176,Z176,AE176))</f>
        <v>0</v>
      </c>
      <c r="AG176" s="6"/>
      <c r="AH176" s="6"/>
      <c r="AI176" s="6"/>
      <c r="AJ176" s="6"/>
      <c r="AK176" s="6"/>
      <c r="AL176" s="6"/>
    </row>
    <row r="177" customFormat="false" ht="15" hidden="false" customHeight="false" outlineLevel="0" collapsed="false">
      <c r="A177" s="2" t="s">
        <v>242</v>
      </c>
      <c r="B177" s="2" t="s">
        <v>177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10" t="n">
        <f aca="false">IF(AG177&lt;&gt;"",AG177,SUM(G177,Q177,V177,Z177,AE177))</f>
        <v>0</v>
      </c>
      <c r="AG177" s="6"/>
      <c r="AH177" s="6"/>
      <c r="AI177" s="6"/>
      <c r="AJ177" s="6"/>
      <c r="AK177" s="6"/>
      <c r="AL177" s="6"/>
    </row>
    <row r="178" customFormat="false" ht="15" hidden="false" customHeight="false" outlineLevel="0" collapsed="false">
      <c r="A178" s="2" t="s">
        <v>243</v>
      </c>
      <c r="B178" s="2" t="s">
        <v>177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10" t="n">
        <f aca="false">IF(AG178&lt;&gt;"",AG178,SUM(G178,Q178,V178,Z178,AE178))</f>
        <v>0</v>
      </c>
      <c r="AG178" s="6"/>
      <c r="AH178" s="6"/>
      <c r="AI178" s="6"/>
      <c r="AJ178" s="6"/>
      <c r="AK178" s="6"/>
      <c r="AL178" s="6"/>
    </row>
    <row r="179" customFormat="false" ht="15" hidden="false" customHeight="false" outlineLevel="0" collapsed="false">
      <c r="A179" s="2" t="s">
        <v>244</v>
      </c>
      <c r="B179" s="2" t="s">
        <v>177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10" t="n">
        <f aca="false">IF(AG179&lt;&gt;"",AG179,SUM(G179,Q179,V179,Z179,AE179))</f>
        <v>0</v>
      </c>
      <c r="AG179" s="6"/>
      <c r="AH179" s="6"/>
      <c r="AI179" s="6"/>
      <c r="AJ179" s="6"/>
      <c r="AK179" s="6"/>
      <c r="AL179" s="6"/>
    </row>
    <row r="180" customFormat="false" ht="15" hidden="false" customHeight="false" outlineLevel="0" collapsed="false">
      <c r="A180" s="2" t="s">
        <v>246</v>
      </c>
      <c r="B180" s="2" t="s">
        <v>177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10" t="n">
        <f aca="false">IF(AG180&lt;&gt;"",AG180,SUM(G180,Q180,V180,Z180,AE180))</f>
        <v>0</v>
      </c>
      <c r="AG180" s="6"/>
      <c r="AH180" s="6"/>
      <c r="AI180" s="6"/>
      <c r="AJ180" s="6"/>
      <c r="AK180" s="6"/>
      <c r="AL180" s="6"/>
    </row>
    <row r="181" customFormat="false" ht="15" hidden="false" customHeight="false" outlineLevel="0" collapsed="false">
      <c r="A181" s="2" t="s">
        <v>247</v>
      </c>
      <c r="B181" s="2" t="s">
        <v>177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10" t="n">
        <f aca="false">IF(AG181&lt;&gt;"",AG181,SUM(G181,Q181,V181,Z181,AE181))</f>
        <v>0</v>
      </c>
      <c r="AG181" s="6"/>
      <c r="AH181" s="6"/>
      <c r="AI181" s="6"/>
      <c r="AJ181" s="6"/>
      <c r="AK181" s="6"/>
      <c r="AL181" s="6"/>
    </row>
    <row r="182" customFormat="false" ht="15" hidden="false" customHeight="false" outlineLevel="0" collapsed="false">
      <c r="A182" s="2" t="s">
        <v>248</v>
      </c>
      <c r="B182" s="2" t="s">
        <v>249</v>
      </c>
      <c r="C182" s="6"/>
      <c r="D182" s="6"/>
      <c r="E182" s="6"/>
      <c r="F182" s="6"/>
      <c r="G182" s="9" t="n">
        <v>18</v>
      </c>
      <c r="H182" s="6"/>
      <c r="I182" s="6"/>
      <c r="J182" s="6"/>
      <c r="K182" s="6"/>
      <c r="L182" s="6"/>
      <c r="M182" s="6"/>
      <c r="N182" s="6"/>
      <c r="O182" s="6"/>
      <c r="P182" s="6"/>
      <c r="Q182" s="9" t="n">
        <v>18</v>
      </c>
      <c r="R182" s="6"/>
      <c r="S182" s="6"/>
      <c r="T182" s="6"/>
      <c r="U182" s="6"/>
      <c r="V182" s="9" t="n">
        <v>18</v>
      </c>
      <c r="W182" s="6"/>
      <c r="X182" s="6"/>
      <c r="Y182" s="6"/>
      <c r="Z182" s="9" t="n">
        <v>18</v>
      </c>
      <c r="AA182" s="6"/>
      <c r="AB182" s="6"/>
      <c r="AC182" s="6"/>
      <c r="AD182" s="6"/>
      <c r="AE182" s="9" t="n">
        <v>18</v>
      </c>
      <c r="AF182" s="10" t="n">
        <f aca="false">IF(AG182&lt;&gt;"",AG182,SUM(G182,Q182,V182,Z182,AE182))</f>
        <v>90</v>
      </c>
      <c r="AG182" s="6"/>
      <c r="AH182" s="6"/>
      <c r="AI182" s="5" t="s">
        <v>358</v>
      </c>
      <c r="AJ182" s="6"/>
      <c r="AK182" s="6"/>
      <c r="AL182" s="6"/>
    </row>
    <row r="183" customFormat="false" ht="15" hidden="false" customHeight="false" outlineLevel="0" collapsed="false">
      <c r="A183" s="2" t="s">
        <v>112</v>
      </c>
      <c r="B183" s="2" t="s">
        <v>249</v>
      </c>
      <c r="C183" s="6"/>
      <c r="D183" s="6"/>
      <c r="E183" s="6"/>
      <c r="F183" s="6"/>
      <c r="G183" s="9" t="n">
        <v>20</v>
      </c>
      <c r="H183" s="6"/>
      <c r="I183" s="6"/>
      <c r="J183" s="6"/>
      <c r="K183" s="6"/>
      <c r="L183" s="6"/>
      <c r="M183" s="6"/>
      <c r="N183" s="6"/>
      <c r="O183" s="6"/>
      <c r="P183" s="6"/>
      <c r="Q183" s="9" t="n">
        <v>20</v>
      </c>
      <c r="R183" s="6"/>
      <c r="S183" s="6"/>
      <c r="T183" s="6"/>
      <c r="U183" s="6"/>
      <c r="V183" s="9" t="n">
        <v>20</v>
      </c>
      <c r="W183" s="6"/>
      <c r="X183" s="6"/>
      <c r="Y183" s="6"/>
      <c r="Z183" s="9" t="n">
        <v>20</v>
      </c>
      <c r="AA183" s="6"/>
      <c r="AB183" s="6"/>
      <c r="AC183" s="6"/>
      <c r="AD183" s="6"/>
      <c r="AE183" s="9" t="n">
        <v>20</v>
      </c>
      <c r="AF183" s="10" t="n">
        <f aca="false">IF(AG183&lt;&gt;"",AG183,SUM(G183,Q183,V183,Z183,AE183))</f>
        <v>100</v>
      </c>
      <c r="AG183" s="6"/>
      <c r="AH183" s="6"/>
      <c r="AI183" s="5" t="s">
        <v>358</v>
      </c>
      <c r="AJ183" s="6"/>
      <c r="AK183" s="6"/>
      <c r="AL183" s="6"/>
    </row>
    <row r="184" customFormat="false" ht="15" hidden="false" customHeight="false" outlineLevel="0" collapsed="false">
      <c r="A184" s="2" t="s">
        <v>251</v>
      </c>
      <c r="B184" s="2" t="s">
        <v>249</v>
      </c>
      <c r="C184" s="6"/>
      <c r="D184" s="6"/>
      <c r="E184" s="6"/>
      <c r="F184" s="6"/>
      <c r="G184" s="9" t="n">
        <v>20</v>
      </c>
      <c r="H184" s="6"/>
      <c r="I184" s="6"/>
      <c r="J184" s="6"/>
      <c r="K184" s="6"/>
      <c r="L184" s="6"/>
      <c r="M184" s="6"/>
      <c r="N184" s="6"/>
      <c r="O184" s="6"/>
      <c r="P184" s="6"/>
      <c r="Q184" s="9" t="n">
        <v>20</v>
      </c>
      <c r="R184" s="6"/>
      <c r="S184" s="6"/>
      <c r="T184" s="6"/>
      <c r="U184" s="6"/>
      <c r="V184" s="9" t="n">
        <v>20</v>
      </c>
      <c r="W184" s="6"/>
      <c r="X184" s="6"/>
      <c r="Y184" s="6"/>
      <c r="Z184" s="9" t="n">
        <v>20</v>
      </c>
      <c r="AA184" s="6"/>
      <c r="AB184" s="6"/>
      <c r="AC184" s="6"/>
      <c r="AD184" s="6"/>
      <c r="AE184" s="9" t="n">
        <v>20</v>
      </c>
      <c r="AF184" s="10" t="n">
        <f aca="false">IF(AG184&lt;&gt;"",AG184,SUM(G184,Q184,V184,Z184,AE184))</f>
        <v>100</v>
      </c>
      <c r="AG184" s="6"/>
      <c r="AH184" s="6"/>
      <c r="AI184" s="5" t="s">
        <v>358</v>
      </c>
      <c r="AJ184" s="6"/>
      <c r="AK184" s="6"/>
      <c r="AL184" s="6"/>
    </row>
    <row r="185" customFormat="false" ht="15" hidden="false" customHeight="false" outlineLevel="0" collapsed="false">
      <c r="A185" s="2" t="s">
        <v>253</v>
      </c>
      <c r="B185" s="2" t="s">
        <v>249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10" t="n">
        <f aca="false">IF(AG185&lt;&gt;"",AG185,SUM(G185,Q185,V185,Z185,AE185))</f>
        <v>0</v>
      </c>
      <c r="AG185" s="6"/>
      <c r="AH185" s="6"/>
      <c r="AI185" s="6"/>
      <c r="AJ185" s="6"/>
      <c r="AK185" s="6"/>
      <c r="AL185" s="6"/>
    </row>
    <row r="186" customFormat="false" ht="15" hidden="false" customHeight="false" outlineLevel="0" collapsed="false">
      <c r="A186" s="2" t="s">
        <v>254</v>
      </c>
      <c r="B186" s="2" t="s">
        <v>249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10" t="n">
        <f aca="false">IF(AG186&lt;&gt;"",AG186,SUM(G186,Q186,V186,Z186,AE186))</f>
        <v>0</v>
      </c>
      <c r="AG186" s="6"/>
      <c r="AH186" s="6"/>
      <c r="AI186" s="6"/>
      <c r="AJ186" s="6"/>
      <c r="AK186" s="6"/>
      <c r="AL186" s="6"/>
    </row>
    <row r="187" customFormat="false" ht="15" hidden="false" customHeight="false" outlineLevel="0" collapsed="false">
      <c r="A187" s="2" t="s">
        <v>255</v>
      </c>
      <c r="B187" s="2" t="s">
        <v>249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10" t="n">
        <f aca="false">IF(AG187&lt;&gt;"",AG187,SUM(G187,Q187,V187,Z187,AE187))</f>
        <v>0</v>
      </c>
      <c r="AG187" s="6"/>
      <c r="AH187" s="6"/>
      <c r="AI187" s="6"/>
      <c r="AJ187" s="6"/>
      <c r="AK187" s="6"/>
      <c r="AL187" s="6"/>
    </row>
    <row r="188" customFormat="false" ht="15" hidden="false" customHeight="false" outlineLevel="0" collapsed="false">
      <c r="A188" s="2" t="s">
        <v>257</v>
      </c>
      <c r="B188" s="2" t="s">
        <v>249</v>
      </c>
      <c r="C188" s="6"/>
      <c r="D188" s="6"/>
      <c r="E188" s="6"/>
      <c r="F188" s="6"/>
      <c r="G188" s="9" t="n">
        <v>20</v>
      </c>
      <c r="H188" s="6"/>
      <c r="I188" s="6"/>
      <c r="J188" s="6"/>
      <c r="K188" s="6"/>
      <c r="L188" s="6"/>
      <c r="M188" s="6"/>
      <c r="N188" s="6"/>
      <c r="O188" s="6"/>
      <c r="P188" s="6"/>
      <c r="Q188" s="9" t="n">
        <v>20</v>
      </c>
      <c r="R188" s="6"/>
      <c r="S188" s="6"/>
      <c r="T188" s="6"/>
      <c r="U188" s="6"/>
      <c r="V188" s="9" t="n">
        <v>20</v>
      </c>
      <c r="W188" s="6"/>
      <c r="X188" s="6"/>
      <c r="Y188" s="6"/>
      <c r="Z188" s="9" t="n">
        <v>20</v>
      </c>
      <c r="AA188" s="6"/>
      <c r="AB188" s="6"/>
      <c r="AC188" s="6"/>
      <c r="AD188" s="6"/>
      <c r="AE188" s="9" t="n">
        <v>20</v>
      </c>
      <c r="AF188" s="10" t="n">
        <f aca="false">IF(AG188&lt;&gt;"",AG188,SUM(G188,Q188,V188,Z188,AE188))</f>
        <v>100</v>
      </c>
      <c r="AG188" s="6"/>
      <c r="AH188" s="6"/>
      <c r="AI188" s="5" t="s">
        <v>358</v>
      </c>
      <c r="AJ188" s="6"/>
      <c r="AK188" s="6"/>
      <c r="AL188" s="6"/>
    </row>
    <row r="189" customFormat="false" ht="15" hidden="false" customHeight="false" outlineLevel="0" collapsed="false">
      <c r="A189" s="2" t="s">
        <v>258</v>
      </c>
      <c r="B189" s="2" t="s">
        <v>249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10" t="n">
        <f aca="false">IF(AG189&lt;&gt;"",AG189,SUM(G189,Q189,V189,Z189,AE189))</f>
        <v>0</v>
      </c>
      <c r="AG189" s="6"/>
      <c r="AH189" s="6"/>
      <c r="AI189" s="6"/>
      <c r="AJ189" s="6"/>
      <c r="AK189" s="6"/>
      <c r="AL189" s="6"/>
    </row>
    <row r="190" customFormat="false" ht="15" hidden="false" customHeight="false" outlineLevel="0" collapsed="false">
      <c r="A190" s="2" t="s">
        <v>259</v>
      </c>
      <c r="B190" s="2" t="s">
        <v>249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10" t="n">
        <f aca="false">IF(AG190&lt;&gt;"",AG190,SUM(G190,Q190,V190,Z190,AE190))</f>
        <v>0</v>
      </c>
      <c r="AG190" s="6"/>
      <c r="AH190" s="6"/>
      <c r="AI190" s="6"/>
      <c r="AJ190" s="6"/>
      <c r="AK190" s="6"/>
      <c r="AL190" s="6"/>
    </row>
    <row r="191" customFormat="false" ht="15" hidden="false" customHeight="false" outlineLevel="0" collapsed="false">
      <c r="A191" s="2" t="s">
        <v>260</v>
      </c>
      <c r="B191" s="2" t="s">
        <v>249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10" t="n">
        <f aca="false">IF(AG191&lt;&gt;"",AG191,SUM(G191,Q191,V191,Z191,AE191))</f>
        <v>0</v>
      </c>
      <c r="AG191" s="6"/>
      <c r="AH191" s="6"/>
      <c r="AI191" s="6"/>
      <c r="AJ191" s="6"/>
      <c r="AK191" s="6"/>
      <c r="AL191" s="6"/>
    </row>
    <row r="192" customFormat="false" ht="15" hidden="false" customHeight="false" outlineLevel="0" collapsed="false">
      <c r="A192" s="2" t="s">
        <v>262</v>
      </c>
      <c r="B192" s="2" t="s">
        <v>249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10" t="n">
        <f aca="false">IF(AG192&lt;&gt;"",AG192,SUM(G192,Q192,V192,Z192,AE192))</f>
        <v>0</v>
      </c>
      <c r="AG192" s="6"/>
      <c r="AH192" s="6"/>
      <c r="AI192" s="6"/>
      <c r="AJ192" s="6"/>
      <c r="AK192" s="6"/>
      <c r="AL192" s="6"/>
    </row>
    <row r="193" customFormat="false" ht="15" hidden="false" customHeight="false" outlineLevel="0" collapsed="false">
      <c r="A193" s="2" t="s">
        <v>263</v>
      </c>
      <c r="B193" s="2" t="s">
        <v>249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10" t="n">
        <f aca="false">IF(AG193&lt;&gt;"",AG193,SUM(G193,Q193,V193,Z193,AE193))</f>
        <v>0</v>
      </c>
      <c r="AG193" s="6"/>
      <c r="AH193" s="6"/>
      <c r="AI193" s="6"/>
      <c r="AJ193" s="6"/>
      <c r="AK193" s="6"/>
      <c r="AL193" s="6"/>
    </row>
    <row r="194" customFormat="false" ht="15" hidden="false" customHeight="false" outlineLevel="0" collapsed="false">
      <c r="A194" s="2" t="s">
        <v>264</v>
      </c>
      <c r="B194" s="2" t="s">
        <v>249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10" t="n">
        <f aca="false">IF(AG194&lt;&gt;"",AG194,SUM(G194,Q194,V194,Z194,AE194))</f>
        <v>0</v>
      </c>
      <c r="AG194" s="6"/>
      <c r="AH194" s="6"/>
      <c r="AI194" s="6"/>
      <c r="AJ194" s="6"/>
      <c r="AK194" s="6"/>
      <c r="AL194" s="6"/>
    </row>
    <row r="195" customFormat="false" ht="15" hidden="false" customHeight="false" outlineLevel="0" collapsed="false">
      <c r="A195" s="2" t="s">
        <v>265</v>
      </c>
      <c r="B195" s="2" t="s">
        <v>249</v>
      </c>
      <c r="C195" s="6"/>
      <c r="D195" s="6"/>
      <c r="E195" s="6"/>
      <c r="F195" s="6"/>
      <c r="G195" s="9" t="n">
        <v>20</v>
      </c>
      <c r="H195" s="6"/>
      <c r="I195" s="6"/>
      <c r="J195" s="6"/>
      <c r="K195" s="6"/>
      <c r="L195" s="6"/>
      <c r="M195" s="6"/>
      <c r="N195" s="6"/>
      <c r="O195" s="6"/>
      <c r="P195" s="6"/>
      <c r="Q195" s="9" t="n">
        <v>20</v>
      </c>
      <c r="R195" s="6"/>
      <c r="S195" s="6"/>
      <c r="T195" s="6"/>
      <c r="U195" s="6"/>
      <c r="V195" s="9" t="n">
        <v>20</v>
      </c>
      <c r="W195" s="6"/>
      <c r="X195" s="6"/>
      <c r="Y195" s="6"/>
      <c r="Z195" s="9" t="n">
        <v>20</v>
      </c>
      <c r="AA195" s="6"/>
      <c r="AB195" s="6"/>
      <c r="AC195" s="6"/>
      <c r="AD195" s="6"/>
      <c r="AE195" s="9" t="n">
        <v>20</v>
      </c>
      <c r="AF195" s="10" t="n">
        <f aca="false">IF(AG195&lt;&gt;"",AG195,SUM(G195,Q195,V195,Z195,AE195))</f>
        <v>100</v>
      </c>
      <c r="AG195" s="6"/>
      <c r="AH195" s="6"/>
      <c r="AI195" s="5" t="s">
        <v>358</v>
      </c>
      <c r="AJ195" s="6"/>
      <c r="AK195" s="6"/>
      <c r="AL195" s="6"/>
    </row>
    <row r="196" customFormat="false" ht="15" hidden="false" customHeight="false" outlineLevel="0" collapsed="false">
      <c r="A196" s="2" t="s">
        <v>266</v>
      </c>
      <c r="B196" s="2" t="s">
        <v>249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10" t="n">
        <f aca="false">IF(AG196&lt;&gt;"",AG196,SUM(G196,Q196,V196,Z196,AE196))</f>
        <v>0</v>
      </c>
      <c r="AG196" s="6"/>
      <c r="AH196" s="6"/>
      <c r="AI196" s="6"/>
      <c r="AJ196" s="6"/>
      <c r="AK196" s="6"/>
      <c r="AL196" s="6"/>
    </row>
    <row r="197" customFormat="false" ht="15" hidden="false" customHeight="false" outlineLevel="0" collapsed="false">
      <c r="A197" s="2" t="s">
        <v>267</v>
      </c>
      <c r="B197" s="2" t="s">
        <v>249</v>
      </c>
      <c r="C197" s="6"/>
      <c r="D197" s="6"/>
      <c r="E197" s="6"/>
      <c r="F197" s="6"/>
      <c r="G197" s="9" t="n">
        <v>18</v>
      </c>
      <c r="H197" s="6"/>
      <c r="I197" s="6"/>
      <c r="J197" s="6"/>
      <c r="K197" s="6"/>
      <c r="L197" s="6"/>
      <c r="M197" s="6"/>
      <c r="N197" s="6"/>
      <c r="O197" s="6"/>
      <c r="P197" s="6"/>
      <c r="Q197" s="9" t="n">
        <v>18</v>
      </c>
      <c r="R197" s="6"/>
      <c r="S197" s="6"/>
      <c r="T197" s="6"/>
      <c r="U197" s="6"/>
      <c r="V197" s="9" t="n">
        <v>18</v>
      </c>
      <c r="W197" s="6"/>
      <c r="X197" s="6"/>
      <c r="Y197" s="6"/>
      <c r="Z197" s="9" t="n">
        <v>18</v>
      </c>
      <c r="AA197" s="6"/>
      <c r="AB197" s="6"/>
      <c r="AC197" s="6"/>
      <c r="AD197" s="6"/>
      <c r="AE197" s="9" t="n">
        <v>18</v>
      </c>
      <c r="AF197" s="10" t="n">
        <f aca="false">IF(AG197&lt;&gt;"",AG197,SUM(G197,Q197,V197,Z197,AE197))</f>
        <v>90</v>
      </c>
      <c r="AG197" s="6"/>
      <c r="AH197" s="6"/>
      <c r="AI197" s="5" t="s">
        <v>358</v>
      </c>
      <c r="AJ197" s="6"/>
      <c r="AK197" s="6"/>
      <c r="AL197" s="6"/>
    </row>
    <row r="198" customFormat="false" ht="15" hidden="false" customHeight="false" outlineLevel="0" collapsed="false">
      <c r="A198" s="2" t="s">
        <v>268</v>
      </c>
      <c r="B198" s="2" t="s">
        <v>249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10" t="n">
        <f aca="false">IF(AG198&lt;&gt;"",AG198,SUM(G198,Q198,V198,Z198,AE198))</f>
        <v>0</v>
      </c>
      <c r="AG198" s="6"/>
      <c r="AH198" s="6"/>
      <c r="AI198" s="6"/>
      <c r="AJ198" s="6"/>
      <c r="AK198" s="6"/>
      <c r="AL198" s="6"/>
    </row>
    <row r="199" customFormat="false" ht="15" hidden="false" customHeight="false" outlineLevel="0" collapsed="false">
      <c r="A199" s="2" t="s">
        <v>270</v>
      </c>
      <c r="B199" s="2" t="s">
        <v>249</v>
      </c>
      <c r="C199" s="6"/>
      <c r="D199" s="6"/>
      <c r="E199" s="6"/>
      <c r="F199" s="6"/>
      <c r="G199" s="9" t="n">
        <v>14</v>
      </c>
      <c r="H199" s="6"/>
      <c r="I199" s="6"/>
      <c r="J199" s="6"/>
      <c r="K199" s="6"/>
      <c r="L199" s="6"/>
      <c r="M199" s="6"/>
      <c r="N199" s="6"/>
      <c r="O199" s="6"/>
      <c r="P199" s="6"/>
      <c r="Q199" s="9" t="n">
        <v>14</v>
      </c>
      <c r="R199" s="6"/>
      <c r="S199" s="6"/>
      <c r="T199" s="6"/>
      <c r="U199" s="6"/>
      <c r="V199" s="9" t="n">
        <v>14</v>
      </c>
      <c r="W199" s="6"/>
      <c r="X199" s="6"/>
      <c r="Y199" s="6"/>
      <c r="Z199" s="9" t="n">
        <v>14</v>
      </c>
      <c r="AA199" s="6"/>
      <c r="AB199" s="6"/>
      <c r="AC199" s="6"/>
      <c r="AD199" s="6"/>
      <c r="AE199" s="9" t="n">
        <v>14</v>
      </c>
      <c r="AF199" s="10" t="n">
        <f aca="false">IF(AG199&lt;&gt;"",AG199,SUM(G199,Q199,V199,Z199,AE199))</f>
        <v>70</v>
      </c>
      <c r="AG199" s="6"/>
      <c r="AH199" s="6"/>
      <c r="AI199" s="5" t="s">
        <v>358</v>
      </c>
      <c r="AJ199" s="6"/>
      <c r="AK199" s="6"/>
      <c r="AL199" s="6"/>
    </row>
    <row r="200" customFormat="false" ht="15" hidden="false" customHeight="false" outlineLevel="0" collapsed="false">
      <c r="A200" s="2" t="s">
        <v>271</v>
      </c>
      <c r="B200" s="2" t="s">
        <v>249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10" t="n">
        <f aca="false">IF(AG200&lt;&gt;"",AG200,SUM(G200,Q200,V200,Z200,AE200))</f>
        <v>0</v>
      </c>
      <c r="AG200" s="6"/>
      <c r="AH200" s="6"/>
      <c r="AI200" s="6"/>
      <c r="AJ200" s="6"/>
      <c r="AK200" s="6"/>
      <c r="AL200" s="6"/>
    </row>
    <row r="201" customFormat="false" ht="15" hidden="false" customHeight="false" outlineLevel="0" collapsed="false">
      <c r="A201" s="2" t="s">
        <v>272</v>
      </c>
      <c r="B201" s="2" t="s">
        <v>249</v>
      </c>
      <c r="C201" s="6"/>
      <c r="D201" s="6"/>
      <c r="E201" s="6"/>
      <c r="F201" s="6"/>
      <c r="G201" s="9" t="n">
        <v>20</v>
      </c>
      <c r="H201" s="6"/>
      <c r="I201" s="6"/>
      <c r="J201" s="6"/>
      <c r="K201" s="6"/>
      <c r="L201" s="6"/>
      <c r="M201" s="6"/>
      <c r="N201" s="6"/>
      <c r="O201" s="6"/>
      <c r="P201" s="6"/>
      <c r="Q201" s="9" t="n">
        <v>20</v>
      </c>
      <c r="R201" s="6"/>
      <c r="S201" s="6"/>
      <c r="T201" s="6"/>
      <c r="U201" s="6"/>
      <c r="V201" s="9" t="n">
        <v>20</v>
      </c>
      <c r="W201" s="6"/>
      <c r="X201" s="6"/>
      <c r="Y201" s="6"/>
      <c r="Z201" s="9" t="n">
        <v>20</v>
      </c>
      <c r="AA201" s="6"/>
      <c r="AB201" s="6"/>
      <c r="AC201" s="6"/>
      <c r="AD201" s="6"/>
      <c r="AE201" s="9" t="n">
        <v>20</v>
      </c>
      <c r="AF201" s="10" t="n">
        <f aca="false">IF(AG201&lt;&gt;"",AG201,SUM(G201,Q201,V201,Z201,AE201))</f>
        <v>100</v>
      </c>
      <c r="AG201" s="6"/>
      <c r="AH201" s="6"/>
      <c r="AI201" s="5" t="s">
        <v>358</v>
      </c>
      <c r="AJ201" s="6"/>
      <c r="AK201" s="6"/>
      <c r="AL201" s="6"/>
    </row>
    <row r="202" customFormat="false" ht="15" hidden="false" customHeight="false" outlineLevel="0" collapsed="false">
      <c r="A202" s="2" t="s">
        <v>231</v>
      </c>
      <c r="B202" s="2" t="s">
        <v>249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10" t="n">
        <f aca="false">IF(AG202&lt;&gt;"",AG202,SUM(G202,Q202,V202,Z202,AE202))</f>
        <v>0</v>
      </c>
      <c r="AG202" s="6"/>
      <c r="AH202" s="6"/>
      <c r="AI202" s="6"/>
      <c r="AJ202" s="6"/>
      <c r="AK202" s="6"/>
      <c r="AL202" s="6"/>
    </row>
    <row r="203" customFormat="false" ht="15" hidden="false" customHeight="false" outlineLevel="0" collapsed="false">
      <c r="A203" s="2" t="s">
        <v>273</v>
      </c>
      <c r="B203" s="2" t="s">
        <v>249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10" t="n">
        <f aca="false">IF(AG203&lt;&gt;"",AG203,SUM(G203,Q203,V203,Z203,AE203))</f>
        <v>0</v>
      </c>
      <c r="AG203" s="6"/>
      <c r="AH203" s="6"/>
      <c r="AI203" s="6"/>
      <c r="AJ203" s="6"/>
      <c r="AK203" s="6"/>
      <c r="AL203" s="6"/>
    </row>
    <row r="204" customFormat="false" ht="15" hidden="false" customHeight="false" outlineLevel="0" collapsed="false">
      <c r="A204" s="2" t="s">
        <v>274</v>
      </c>
      <c r="B204" s="2" t="s">
        <v>249</v>
      </c>
      <c r="C204" s="6"/>
      <c r="D204" s="6"/>
      <c r="E204" s="6"/>
      <c r="F204" s="6"/>
      <c r="G204" s="9" t="n">
        <v>20</v>
      </c>
      <c r="H204" s="6"/>
      <c r="I204" s="6"/>
      <c r="J204" s="6"/>
      <c r="K204" s="6"/>
      <c r="L204" s="6"/>
      <c r="M204" s="6"/>
      <c r="N204" s="6"/>
      <c r="O204" s="6"/>
      <c r="P204" s="6"/>
      <c r="Q204" s="9" t="n">
        <v>20</v>
      </c>
      <c r="R204" s="6"/>
      <c r="S204" s="6"/>
      <c r="T204" s="6"/>
      <c r="U204" s="6"/>
      <c r="V204" s="9" t="n">
        <v>20</v>
      </c>
      <c r="W204" s="6"/>
      <c r="X204" s="6"/>
      <c r="Y204" s="6"/>
      <c r="Z204" s="9" t="n">
        <v>20</v>
      </c>
      <c r="AA204" s="6"/>
      <c r="AB204" s="6"/>
      <c r="AC204" s="6"/>
      <c r="AD204" s="6"/>
      <c r="AE204" s="9" t="n">
        <v>20</v>
      </c>
      <c r="AF204" s="10" t="n">
        <f aca="false">IF(AG204&lt;&gt;"",AG204,SUM(G204,Q204,V204,Z204,AE204))</f>
        <v>100</v>
      </c>
      <c r="AG204" s="6"/>
      <c r="AH204" s="6"/>
      <c r="AI204" s="5" t="s">
        <v>358</v>
      </c>
      <c r="AJ204" s="6"/>
      <c r="AK204" s="6"/>
      <c r="AL204" s="6"/>
    </row>
    <row r="205" customFormat="false" ht="15" hidden="false" customHeight="false" outlineLevel="0" collapsed="false">
      <c r="A205" s="2" t="s">
        <v>275</v>
      </c>
      <c r="B205" s="2" t="s">
        <v>249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10" t="n">
        <f aca="false">IF(AG205&lt;&gt;"",AG205,SUM(G205,Q205,V205,Z205,AE205))</f>
        <v>0</v>
      </c>
      <c r="AG205" s="6"/>
      <c r="AH205" s="6"/>
      <c r="AI205" s="6"/>
      <c r="AJ205" s="6"/>
      <c r="AK205" s="6"/>
      <c r="AL205" s="6"/>
    </row>
    <row r="206" customFormat="false" ht="15" hidden="false" customHeight="false" outlineLevel="0" collapsed="false">
      <c r="A206" s="2" t="s">
        <v>276</v>
      </c>
      <c r="B206" s="2" t="s">
        <v>249</v>
      </c>
      <c r="C206" s="6"/>
      <c r="D206" s="6"/>
      <c r="E206" s="6"/>
      <c r="F206" s="6"/>
      <c r="G206" s="9" t="n">
        <v>20</v>
      </c>
      <c r="H206" s="6"/>
      <c r="I206" s="6"/>
      <c r="J206" s="6"/>
      <c r="K206" s="6"/>
      <c r="L206" s="6"/>
      <c r="M206" s="6"/>
      <c r="N206" s="6"/>
      <c r="O206" s="6"/>
      <c r="P206" s="6"/>
      <c r="Q206" s="9" t="n">
        <v>20</v>
      </c>
      <c r="R206" s="6"/>
      <c r="S206" s="6"/>
      <c r="T206" s="6"/>
      <c r="U206" s="6"/>
      <c r="V206" s="9" t="n">
        <v>20</v>
      </c>
      <c r="W206" s="6"/>
      <c r="X206" s="6"/>
      <c r="Y206" s="6"/>
      <c r="Z206" s="9" t="n">
        <v>20</v>
      </c>
      <c r="AA206" s="6"/>
      <c r="AB206" s="6"/>
      <c r="AC206" s="6"/>
      <c r="AD206" s="6"/>
      <c r="AE206" s="9" t="n">
        <v>20</v>
      </c>
      <c r="AF206" s="10" t="n">
        <f aca="false">IF(AG206&lt;&gt;"",AG206,SUM(G206,Q206,V206,Z206,AE206))</f>
        <v>100</v>
      </c>
      <c r="AG206" s="6"/>
      <c r="AH206" s="6"/>
      <c r="AI206" s="5" t="s">
        <v>358</v>
      </c>
      <c r="AJ206" s="6"/>
      <c r="AK206" s="6"/>
      <c r="AL206" s="6"/>
    </row>
    <row r="207" customFormat="false" ht="15" hidden="false" customHeight="false" outlineLevel="0" collapsed="false">
      <c r="A207" s="2" t="s">
        <v>278</v>
      </c>
      <c r="B207" s="2" t="s">
        <v>249</v>
      </c>
      <c r="C207" s="6"/>
      <c r="D207" s="6"/>
      <c r="E207" s="6"/>
      <c r="F207" s="6"/>
      <c r="G207" s="9" t="n">
        <v>20</v>
      </c>
      <c r="H207" s="6"/>
      <c r="I207" s="6"/>
      <c r="J207" s="6"/>
      <c r="K207" s="6"/>
      <c r="L207" s="6"/>
      <c r="M207" s="6"/>
      <c r="N207" s="6"/>
      <c r="O207" s="6"/>
      <c r="P207" s="6"/>
      <c r="Q207" s="9" t="n">
        <v>20</v>
      </c>
      <c r="R207" s="6"/>
      <c r="S207" s="6"/>
      <c r="T207" s="6"/>
      <c r="U207" s="6"/>
      <c r="V207" s="9" t="n">
        <v>20</v>
      </c>
      <c r="W207" s="6"/>
      <c r="X207" s="6"/>
      <c r="Y207" s="6"/>
      <c r="Z207" s="9" t="n">
        <v>20</v>
      </c>
      <c r="AA207" s="6"/>
      <c r="AB207" s="6"/>
      <c r="AC207" s="6"/>
      <c r="AD207" s="6"/>
      <c r="AE207" s="9" t="n">
        <v>20</v>
      </c>
      <c r="AF207" s="10" t="n">
        <f aca="false">IF(AG207&lt;&gt;"",AG207,SUM(G207,Q207,V207,Z207,AE207))</f>
        <v>100</v>
      </c>
      <c r="AG207" s="6"/>
      <c r="AH207" s="6"/>
      <c r="AI207" s="5" t="s">
        <v>358</v>
      </c>
      <c r="AJ207" s="6"/>
      <c r="AK207" s="6"/>
      <c r="AL207" s="6"/>
    </row>
    <row r="208" customFormat="false" ht="15" hidden="false" customHeight="false" outlineLevel="0" collapsed="false">
      <c r="A208" s="2" t="s">
        <v>279</v>
      </c>
      <c r="B208" s="2" t="s">
        <v>249</v>
      </c>
      <c r="C208" s="6"/>
      <c r="D208" s="6"/>
      <c r="E208" s="6"/>
      <c r="F208" s="6"/>
      <c r="G208" s="9" t="n">
        <v>20</v>
      </c>
      <c r="H208" s="6"/>
      <c r="I208" s="6"/>
      <c r="J208" s="6"/>
      <c r="K208" s="6"/>
      <c r="L208" s="6"/>
      <c r="M208" s="6"/>
      <c r="N208" s="6"/>
      <c r="O208" s="6"/>
      <c r="P208" s="6"/>
      <c r="Q208" s="9" t="n">
        <v>20</v>
      </c>
      <c r="R208" s="6"/>
      <c r="S208" s="6"/>
      <c r="T208" s="6"/>
      <c r="U208" s="6"/>
      <c r="V208" s="9" t="n">
        <v>20</v>
      </c>
      <c r="W208" s="6"/>
      <c r="X208" s="6"/>
      <c r="Y208" s="6"/>
      <c r="Z208" s="9" t="n">
        <v>20</v>
      </c>
      <c r="AA208" s="6"/>
      <c r="AB208" s="6"/>
      <c r="AC208" s="6"/>
      <c r="AD208" s="6"/>
      <c r="AE208" s="9" t="n">
        <v>20</v>
      </c>
      <c r="AF208" s="10" t="n">
        <f aca="false">IF(AG208&lt;&gt;"",AG208,SUM(G208,Q208,V208,Z208,AE208))</f>
        <v>100</v>
      </c>
      <c r="AG208" s="6"/>
      <c r="AH208" s="6"/>
      <c r="AI208" s="5" t="s">
        <v>358</v>
      </c>
      <c r="AJ208" s="6"/>
      <c r="AK208" s="6"/>
      <c r="AL208" s="6"/>
    </row>
    <row r="209" customFormat="false" ht="15" hidden="false" customHeight="false" outlineLevel="0" collapsed="false">
      <c r="A209" s="2" t="s">
        <v>280</v>
      </c>
      <c r="B209" s="2" t="s">
        <v>249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10" t="n">
        <f aca="false">IF(AG209&lt;&gt;"",AG209,SUM(G209,Q209,V209,Z209,AE209))</f>
        <v>0</v>
      </c>
      <c r="AG209" s="6"/>
      <c r="AH209" s="6"/>
      <c r="AI209" s="6"/>
      <c r="AJ209" s="6"/>
      <c r="AK209" s="6"/>
      <c r="AL209" s="6"/>
    </row>
    <row r="210" customFormat="false" ht="15" hidden="false" customHeight="false" outlineLevel="0" collapsed="false">
      <c r="A210" s="2" t="s">
        <v>281</v>
      </c>
      <c r="B210" s="2" t="s">
        <v>249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10" t="n">
        <f aca="false">IF(AG210&lt;&gt;"",AG210,SUM(G210,Q210,V210,Z210,AE210))</f>
        <v>0</v>
      </c>
      <c r="AG210" s="6"/>
      <c r="AH210" s="6"/>
      <c r="AI210" s="6"/>
      <c r="AJ210" s="6"/>
      <c r="AK210" s="6"/>
      <c r="AL210" s="6"/>
    </row>
    <row r="211" customFormat="false" ht="15" hidden="false" customHeight="false" outlineLevel="0" collapsed="false">
      <c r="A211" s="2" t="s">
        <v>282</v>
      </c>
      <c r="B211" s="2" t="s">
        <v>249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10" t="n">
        <f aca="false">IF(AG211&lt;&gt;"",AG211,SUM(G211,Q211,V211,Z211,AE211))</f>
        <v>0</v>
      </c>
      <c r="AG211" s="6"/>
      <c r="AH211" s="6"/>
      <c r="AI211" s="6"/>
      <c r="AJ211" s="6"/>
      <c r="AK211" s="6"/>
      <c r="AL211" s="6"/>
    </row>
    <row r="212" customFormat="false" ht="15" hidden="false" customHeight="false" outlineLevel="0" collapsed="false">
      <c r="A212" s="2" t="s">
        <v>284</v>
      </c>
      <c r="B212" s="2" t="s">
        <v>249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10" t="n">
        <f aca="false">IF(AG212&lt;&gt;"",AG212,SUM(G212,Q212,V212,Z212,AE212))</f>
        <v>0</v>
      </c>
      <c r="AG212" s="6"/>
      <c r="AH212" s="6"/>
      <c r="AI212" s="6"/>
      <c r="AJ212" s="6"/>
      <c r="AK212" s="6"/>
      <c r="AL212" s="6"/>
    </row>
    <row r="213" customFormat="false" ht="15" hidden="false" customHeight="false" outlineLevel="0" collapsed="false">
      <c r="A213" s="2" t="s">
        <v>285</v>
      </c>
      <c r="B213" s="2" t="s">
        <v>249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10" t="n">
        <f aca="false">IF(AG213&lt;&gt;"",AG213,SUM(G213,Q213,V213,Z213,AE213))</f>
        <v>0</v>
      </c>
      <c r="AG213" s="6"/>
      <c r="AH213" s="6"/>
      <c r="AI213" s="6"/>
      <c r="AJ213" s="6"/>
      <c r="AK213" s="6"/>
      <c r="AL213" s="6"/>
    </row>
    <row r="214" customFormat="false" ht="15" hidden="false" customHeight="false" outlineLevel="0" collapsed="false">
      <c r="A214" s="2" t="s">
        <v>286</v>
      </c>
      <c r="B214" s="2" t="s">
        <v>249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10" t="n">
        <f aca="false">IF(AG214&lt;&gt;"",AG214,SUM(G214,Q214,V214,Z214,AE214))</f>
        <v>0</v>
      </c>
      <c r="AG214" s="6"/>
      <c r="AH214" s="6"/>
      <c r="AI214" s="6"/>
      <c r="AJ214" s="6"/>
      <c r="AK214" s="6"/>
      <c r="AL214" s="6"/>
    </row>
    <row r="215" customFormat="false" ht="15" hidden="false" customHeight="false" outlineLevel="0" collapsed="false">
      <c r="A215" s="2" t="s">
        <v>287</v>
      </c>
      <c r="B215" s="2" t="s">
        <v>249</v>
      </c>
      <c r="C215" s="6"/>
      <c r="D215" s="6"/>
      <c r="E215" s="6"/>
      <c r="F215" s="6"/>
      <c r="G215" s="9" t="n">
        <v>20</v>
      </c>
      <c r="H215" s="6"/>
      <c r="I215" s="6"/>
      <c r="J215" s="6"/>
      <c r="K215" s="6"/>
      <c r="L215" s="6"/>
      <c r="M215" s="6"/>
      <c r="N215" s="6"/>
      <c r="O215" s="6"/>
      <c r="P215" s="6"/>
      <c r="Q215" s="9" t="n">
        <v>20</v>
      </c>
      <c r="R215" s="6"/>
      <c r="S215" s="6"/>
      <c r="T215" s="6"/>
      <c r="U215" s="6"/>
      <c r="V215" s="9" t="n">
        <v>20</v>
      </c>
      <c r="W215" s="6"/>
      <c r="X215" s="6"/>
      <c r="Y215" s="6"/>
      <c r="Z215" s="9" t="n">
        <v>20</v>
      </c>
      <c r="AA215" s="6"/>
      <c r="AB215" s="6"/>
      <c r="AC215" s="6"/>
      <c r="AD215" s="6"/>
      <c r="AE215" s="9" t="n">
        <v>20</v>
      </c>
      <c r="AF215" s="10" t="n">
        <f aca="false">IF(AG215&lt;&gt;"",AG215,SUM(G215,Q215,V215,Z215,AE215))</f>
        <v>100</v>
      </c>
      <c r="AG215" s="6"/>
      <c r="AH215" s="6"/>
      <c r="AI215" s="5" t="s">
        <v>358</v>
      </c>
      <c r="AJ215" s="6"/>
      <c r="AK215" s="6"/>
      <c r="AL215" s="6"/>
    </row>
    <row r="216" customFormat="false" ht="15" hidden="false" customHeight="false" outlineLevel="0" collapsed="false">
      <c r="A216" s="2" t="s">
        <v>288</v>
      </c>
      <c r="B216" s="2" t="s">
        <v>249</v>
      </c>
      <c r="C216" s="6"/>
      <c r="D216" s="6"/>
      <c r="E216" s="6"/>
      <c r="F216" s="6"/>
      <c r="G216" s="9" t="n">
        <v>16</v>
      </c>
      <c r="H216" s="6"/>
      <c r="I216" s="6"/>
      <c r="J216" s="6"/>
      <c r="K216" s="6"/>
      <c r="L216" s="6"/>
      <c r="M216" s="6"/>
      <c r="N216" s="6"/>
      <c r="O216" s="6"/>
      <c r="P216" s="6"/>
      <c r="Q216" s="9" t="n">
        <v>16</v>
      </c>
      <c r="R216" s="6"/>
      <c r="S216" s="6"/>
      <c r="T216" s="6"/>
      <c r="U216" s="6"/>
      <c r="V216" s="9" t="n">
        <v>16</v>
      </c>
      <c r="W216" s="6"/>
      <c r="X216" s="6"/>
      <c r="Y216" s="6"/>
      <c r="Z216" s="9" t="n">
        <v>16</v>
      </c>
      <c r="AA216" s="6"/>
      <c r="AB216" s="6"/>
      <c r="AC216" s="6"/>
      <c r="AD216" s="6"/>
      <c r="AE216" s="9" t="n">
        <v>16</v>
      </c>
      <c r="AF216" s="10" t="n">
        <f aca="false">IF(AG216&lt;&gt;"",AG216,SUM(G216,Q216,V216,Z216,AE216))</f>
        <v>80</v>
      </c>
      <c r="AG216" s="6"/>
      <c r="AH216" s="6"/>
      <c r="AI216" s="5" t="s">
        <v>358</v>
      </c>
      <c r="AJ216" s="6"/>
      <c r="AK216" s="6"/>
      <c r="AL216" s="6"/>
    </row>
    <row r="217" customFormat="false" ht="15" hidden="false" customHeight="false" outlineLevel="0" collapsed="false">
      <c r="A217" s="2" t="s">
        <v>290</v>
      </c>
      <c r="B217" s="2" t="s">
        <v>249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10" t="n">
        <f aca="false">IF(AG217&lt;&gt;"",AG217,SUM(G217,Q217,V217,Z217,AE217))</f>
        <v>0</v>
      </c>
      <c r="AG217" s="6"/>
      <c r="AH217" s="6"/>
      <c r="AI217" s="6"/>
      <c r="AJ217" s="6"/>
      <c r="AK217" s="6"/>
      <c r="AL217" s="6"/>
    </row>
    <row r="218" customFormat="false" ht="15" hidden="false" customHeight="false" outlineLevel="0" collapsed="false">
      <c r="A218" s="2" t="s">
        <v>291</v>
      </c>
      <c r="B218" s="2" t="s">
        <v>249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10" t="n">
        <f aca="false">IF(AG218&lt;&gt;"",AG218,SUM(G218,Q218,V218,Z218,AE218))</f>
        <v>0</v>
      </c>
      <c r="AG218" s="6"/>
      <c r="AH218" s="6"/>
      <c r="AI218" s="6"/>
      <c r="AJ218" s="6"/>
      <c r="AK218" s="6"/>
      <c r="AL218" s="6"/>
    </row>
    <row r="219" customFormat="false" ht="15" hidden="false" customHeight="false" outlineLevel="0" collapsed="false">
      <c r="A219" s="2" t="s">
        <v>292</v>
      </c>
      <c r="B219" s="2" t="s">
        <v>249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10" t="n">
        <f aca="false">IF(AG219&lt;&gt;"",AG219,SUM(G219,Q219,V219,Z219,AE219))</f>
        <v>0</v>
      </c>
      <c r="AG219" s="6"/>
      <c r="AH219" s="6"/>
      <c r="AI219" s="6"/>
      <c r="AJ219" s="6"/>
      <c r="AK219" s="6"/>
      <c r="AL219" s="6"/>
    </row>
    <row r="220" customFormat="false" ht="15" hidden="false" customHeight="false" outlineLevel="0" collapsed="false">
      <c r="A220" s="2" t="s">
        <v>293</v>
      </c>
      <c r="B220" s="2" t="s">
        <v>249</v>
      </c>
      <c r="C220" s="6"/>
      <c r="D220" s="6"/>
      <c r="E220" s="6"/>
      <c r="F220" s="6"/>
      <c r="G220" s="9" t="n">
        <v>20</v>
      </c>
      <c r="H220" s="6"/>
      <c r="I220" s="6"/>
      <c r="J220" s="6"/>
      <c r="K220" s="6"/>
      <c r="L220" s="6"/>
      <c r="M220" s="6"/>
      <c r="N220" s="6"/>
      <c r="O220" s="6"/>
      <c r="P220" s="6"/>
      <c r="Q220" s="9" t="n">
        <v>20</v>
      </c>
      <c r="R220" s="6"/>
      <c r="S220" s="6"/>
      <c r="T220" s="6"/>
      <c r="U220" s="6"/>
      <c r="V220" s="9" t="n">
        <v>20</v>
      </c>
      <c r="W220" s="6"/>
      <c r="X220" s="6"/>
      <c r="Y220" s="6"/>
      <c r="Z220" s="9" t="n">
        <v>20</v>
      </c>
      <c r="AA220" s="6"/>
      <c r="AB220" s="6"/>
      <c r="AC220" s="6"/>
      <c r="AD220" s="6"/>
      <c r="AE220" s="9" t="n">
        <v>20</v>
      </c>
      <c r="AF220" s="10" t="n">
        <f aca="false">IF(AG220&lt;&gt;"",AG220,SUM(G220,Q220,V220,Z220,AE220))</f>
        <v>100</v>
      </c>
      <c r="AG220" s="6"/>
      <c r="AH220" s="6"/>
      <c r="AI220" s="5" t="s">
        <v>358</v>
      </c>
      <c r="AJ220" s="6"/>
      <c r="AK220" s="6"/>
      <c r="AL220" s="6"/>
    </row>
    <row r="221" customFormat="false" ht="15" hidden="false" customHeight="false" outlineLevel="0" collapsed="false">
      <c r="A221" s="2" t="s">
        <v>294</v>
      </c>
      <c r="B221" s="2" t="s">
        <v>249</v>
      </c>
      <c r="C221" s="6"/>
      <c r="D221" s="6"/>
      <c r="E221" s="6"/>
      <c r="F221" s="6"/>
      <c r="G221" s="9" t="n">
        <v>20</v>
      </c>
      <c r="H221" s="6"/>
      <c r="I221" s="6"/>
      <c r="J221" s="6"/>
      <c r="K221" s="6"/>
      <c r="L221" s="6"/>
      <c r="M221" s="6"/>
      <c r="N221" s="6"/>
      <c r="O221" s="6"/>
      <c r="P221" s="6"/>
      <c r="Q221" s="9" t="n">
        <v>20</v>
      </c>
      <c r="R221" s="6"/>
      <c r="S221" s="6"/>
      <c r="T221" s="6"/>
      <c r="U221" s="6"/>
      <c r="V221" s="9" t="n">
        <v>20</v>
      </c>
      <c r="W221" s="6"/>
      <c r="X221" s="6"/>
      <c r="Y221" s="6"/>
      <c r="Z221" s="9" t="n">
        <v>20</v>
      </c>
      <c r="AA221" s="6"/>
      <c r="AB221" s="6"/>
      <c r="AC221" s="6"/>
      <c r="AD221" s="6"/>
      <c r="AE221" s="9" t="n">
        <v>20</v>
      </c>
      <c r="AF221" s="10" t="n">
        <f aca="false">IF(AG221&lt;&gt;"",AG221,SUM(G221,Q221,V221,Z221,AE221))</f>
        <v>100</v>
      </c>
      <c r="AG221" s="6"/>
      <c r="AH221" s="6"/>
      <c r="AI221" s="5" t="s">
        <v>358</v>
      </c>
      <c r="AJ221" s="6"/>
      <c r="AK221" s="6"/>
      <c r="AL221" s="6"/>
    </row>
    <row r="222" customFormat="false" ht="15" hidden="false" customHeight="false" outlineLevel="0" collapsed="false">
      <c r="A222" s="2" t="s">
        <v>200</v>
      </c>
      <c r="B222" s="2" t="s">
        <v>249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10" t="n">
        <f aca="false">IF(AG222&lt;&gt;"",AG222,SUM(G222,Q222,V222,Z222,AE222))</f>
        <v>0</v>
      </c>
      <c r="AG222" s="6"/>
      <c r="AH222" s="6"/>
      <c r="AI222" s="6"/>
      <c r="AJ222" s="6"/>
      <c r="AK222" s="6"/>
      <c r="AL222" s="6"/>
    </row>
    <row r="223" customFormat="false" ht="15" hidden="false" customHeight="false" outlineLevel="0" collapsed="false">
      <c r="A223" s="2" t="s">
        <v>295</v>
      </c>
      <c r="B223" s="2" t="s">
        <v>249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10" t="n">
        <f aca="false">IF(AG223&lt;&gt;"",AG223,SUM(G223,Q223,V223,Z223,AE223))</f>
        <v>0</v>
      </c>
      <c r="AG223" s="6"/>
      <c r="AH223" s="6"/>
      <c r="AI223" s="6"/>
      <c r="AJ223" s="6"/>
      <c r="AK223" s="6"/>
      <c r="AL223" s="6"/>
    </row>
    <row r="224" customFormat="false" ht="15" hidden="false" customHeight="false" outlineLevel="0" collapsed="false">
      <c r="A224" s="2" t="s">
        <v>297</v>
      </c>
      <c r="B224" s="2" t="s">
        <v>249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10" t="n">
        <f aca="false">IF(AG224&lt;&gt;"",AG224,SUM(G224,Q224,V224,Z224,AE224))</f>
        <v>0</v>
      </c>
      <c r="AG224" s="6"/>
      <c r="AH224" s="6"/>
      <c r="AI224" s="6"/>
      <c r="AJ224" s="6"/>
      <c r="AK224" s="6"/>
      <c r="AL224" s="6"/>
    </row>
    <row r="225" customFormat="false" ht="15" hidden="false" customHeight="false" outlineLevel="0" collapsed="false">
      <c r="A225" s="2" t="s">
        <v>298</v>
      </c>
      <c r="B225" s="2" t="s">
        <v>249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10" t="n">
        <f aca="false">IF(AG225&lt;&gt;"",AG225,SUM(G225,Q225,V225,Z225,AE225))</f>
        <v>0</v>
      </c>
      <c r="AG225" s="6"/>
      <c r="AH225" s="6"/>
      <c r="AI225" s="6"/>
      <c r="AJ225" s="6"/>
      <c r="AK225" s="6"/>
      <c r="AL225" s="6"/>
    </row>
    <row r="226" customFormat="false" ht="15" hidden="false" customHeight="false" outlineLevel="0" collapsed="false">
      <c r="A226" s="2" t="s">
        <v>299</v>
      </c>
      <c r="B226" s="2" t="s">
        <v>249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10" t="n">
        <f aca="false">IF(AG226&lt;&gt;"",AG226,SUM(G226,Q226,V226,Z226,AE226))</f>
        <v>0</v>
      </c>
      <c r="AG226" s="6"/>
      <c r="AH226" s="6"/>
      <c r="AI226" s="6"/>
      <c r="AJ226" s="6"/>
      <c r="AK226" s="6"/>
      <c r="AL226" s="6"/>
    </row>
    <row r="227" customFormat="false" ht="15" hidden="false" customHeight="false" outlineLevel="0" collapsed="false">
      <c r="A227" s="2" t="s">
        <v>300</v>
      </c>
      <c r="B227" s="2" t="s">
        <v>249</v>
      </c>
      <c r="C227" s="6"/>
      <c r="D227" s="6"/>
      <c r="E227" s="6"/>
      <c r="F227" s="6"/>
      <c r="G227" s="9" t="n">
        <v>20</v>
      </c>
      <c r="H227" s="6"/>
      <c r="I227" s="6"/>
      <c r="J227" s="6"/>
      <c r="K227" s="6"/>
      <c r="L227" s="6"/>
      <c r="M227" s="6"/>
      <c r="N227" s="6"/>
      <c r="O227" s="6"/>
      <c r="P227" s="6"/>
      <c r="Q227" s="9" t="n">
        <v>20</v>
      </c>
      <c r="R227" s="6"/>
      <c r="S227" s="6"/>
      <c r="T227" s="6"/>
      <c r="U227" s="6"/>
      <c r="V227" s="9" t="n">
        <v>20</v>
      </c>
      <c r="W227" s="6"/>
      <c r="X227" s="6"/>
      <c r="Y227" s="6"/>
      <c r="Z227" s="9" t="n">
        <v>20</v>
      </c>
      <c r="AA227" s="6"/>
      <c r="AB227" s="6"/>
      <c r="AC227" s="6"/>
      <c r="AD227" s="6"/>
      <c r="AE227" s="9" t="n">
        <v>20</v>
      </c>
      <c r="AF227" s="10" t="n">
        <f aca="false">IF(AG227&lt;&gt;"",AG227,SUM(G227,Q227,V227,Z227,AE227))</f>
        <v>100</v>
      </c>
      <c r="AG227" s="6"/>
      <c r="AH227" s="6"/>
      <c r="AI227" s="5" t="s">
        <v>358</v>
      </c>
      <c r="AJ227" s="6"/>
      <c r="AK227" s="6"/>
      <c r="AL227" s="6"/>
    </row>
    <row r="228" customFormat="false" ht="15" hidden="false" customHeight="false" outlineLevel="0" collapsed="false">
      <c r="A228" s="2" t="s">
        <v>301</v>
      </c>
      <c r="B228" s="2" t="s">
        <v>249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10" t="n">
        <f aca="false">IF(AG228&lt;&gt;"",AG228,SUM(G228,Q228,V228,Z228,AE228))</f>
        <v>0</v>
      </c>
      <c r="AG228" s="6"/>
      <c r="AH228" s="6"/>
      <c r="AI228" s="6"/>
      <c r="AJ228" s="6"/>
      <c r="AK228" s="6"/>
      <c r="AL228" s="6"/>
    </row>
    <row r="229" customFormat="false" ht="15" hidden="false" customHeight="false" outlineLevel="0" collapsed="false">
      <c r="A229" s="2" t="s">
        <v>302</v>
      </c>
      <c r="B229" s="2" t="s">
        <v>249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10" t="n">
        <f aca="false">IF(AG229&lt;&gt;"",AG229,SUM(G229,Q229,V229,Z229,AE229))</f>
        <v>0</v>
      </c>
      <c r="AG229" s="6"/>
      <c r="AH229" s="6"/>
      <c r="AI229" s="6"/>
      <c r="AJ229" s="6"/>
      <c r="AK229" s="6"/>
      <c r="AL229" s="6"/>
    </row>
    <row r="230" customFormat="false" ht="15" hidden="false" customHeight="false" outlineLevel="0" collapsed="false">
      <c r="A230" s="2" t="s">
        <v>303</v>
      </c>
      <c r="B230" s="2" t="s">
        <v>249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10" t="n">
        <f aca="false">IF(AG230&lt;&gt;"",AG230,SUM(G230,Q230,V230,Z230,AE230))</f>
        <v>0</v>
      </c>
      <c r="AG230" s="6"/>
      <c r="AH230" s="6"/>
      <c r="AI230" s="6"/>
      <c r="AJ230" s="6"/>
      <c r="AK230" s="6"/>
      <c r="AL230" s="6"/>
    </row>
    <row r="231" customFormat="false" ht="15" hidden="false" customHeight="false" outlineLevel="0" collapsed="false">
      <c r="A231" s="2" t="s">
        <v>305</v>
      </c>
      <c r="B231" s="2" t="s">
        <v>249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10" t="n">
        <f aca="false">IF(AG231&lt;&gt;"",AG231,SUM(G231,Q231,V231,Z231,AE231))</f>
        <v>0</v>
      </c>
      <c r="AG231" s="6"/>
      <c r="AH231" s="6"/>
      <c r="AI231" s="6"/>
      <c r="AJ231" s="6"/>
      <c r="AK231" s="6"/>
      <c r="AL231" s="6"/>
    </row>
    <row r="232" customFormat="false" ht="15" hidden="false" customHeight="false" outlineLevel="0" collapsed="false">
      <c r="A232" s="2" t="s">
        <v>306</v>
      </c>
      <c r="B232" s="2" t="s">
        <v>249</v>
      </c>
      <c r="C232" s="6"/>
      <c r="D232" s="6"/>
      <c r="E232" s="6"/>
      <c r="F232" s="6"/>
      <c r="G232" s="9" t="n">
        <v>20</v>
      </c>
      <c r="H232" s="6"/>
      <c r="I232" s="6"/>
      <c r="J232" s="6"/>
      <c r="K232" s="6"/>
      <c r="L232" s="6"/>
      <c r="M232" s="6"/>
      <c r="N232" s="6"/>
      <c r="O232" s="6"/>
      <c r="P232" s="6"/>
      <c r="Q232" s="9" t="n">
        <v>20</v>
      </c>
      <c r="R232" s="6"/>
      <c r="S232" s="6"/>
      <c r="T232" s="6"/>
      <c r="U232" s="6"/>
      <c r="V232" s="9" t="n">
        <v>20</v>
      </c>
      <c r="W232" s="6"/>
      <c r="X232" s="6"/>
      <c r="Y232" s="6"/>
      <c r="Z232" s="9" t="n">
        <v>20</v>
      </c>
      <c r="AA232" s="6"/>
      <c r="AB232" s="6"/>
      <c r="AC232" s="6"/>
      <c r="AD232" s="6"/>
      <c r="AE232" s="9" t="n">
        <v>20</v>
      </c>
      <c r="AF232" s="10" t="n">
        <f aca="false">IF(AG232&lt;&gt;"",AG232,SUM(G232,Q232,V232,Z232,AE232))</f>
        <v>100</v>
      </c>
      <c r="AG232" s="6"/>
      <c r="AH232" s="6"/>
      <c r="AI232" s="5" t="s">
        <v>358</v>
      </c>
      <c r="AJ232" s="6"/>
      <c r="AK232" s="6"/>
      <c r="AL232" s="6"/>
    </row>
    <row r="233" customFormat="false" ht="15" hidden="false" customHeight="false" outlineLevel="0" collapsed="false">
      <c r="A233" s="2" t="s">
        <v>307</v>
      </c>
      <c r="B233" s="2" t="s">
        <v>249</v>
      </c>
      <c r="C233" s="6"/>
      <c r="D233" s="6"/>
      <c r="E233" s="6"/>
      <c r="F233" s="6"/>
      <c r="G233" s="9" t="n">
        <v>20</v>
      </c>
      <c r="H233" s="6"/>
      <c r="I233" s="6"/>
      <c r="J233" s="6"/>
      <c r="K233" s="6"/>
      <c r="L233" s="6"/>
      <c r="M233" s="6"/>
      <c r="N233" s="6"/>
      <c r="O233" s="6"/>
      <c r="P233" s="6"/>
      <c r="Q233" s="9" t="n">
        <v>20</v>
      </c>
      <c r="R233" s="6"/>
      <c r="S233" s="6"/>
      <c r="T233" s="6"/>
      <c r="U233" s="6"/>
      <c r="V233" s="9" t="n">
        <v>20</v>
      </c>
      <c r="W233" s="6"/>
      <c r="X233" s="6"/>
      <c r="Y233" s="6"/>
      <c r="Z233" s="9" t="n">
        <v>20</v>
      </c>
      <c r="AA233" s="6"/>
      <c r="AB233" s="6"/>
      <c r="AC233" s="6"/>
      <c r="AD233" s="6"/>
      <c r="AE233" s="9" t="n">
        <v>20</v>
      </c>
      <c r="AF233" s="10" t="n">
        <f aca="false">IF(AG233&lt;&gt;"",AG233,SUM(G233,Q233,V233,Z233,AE233))</f>
        <v>100</v>
      </c>
      <c r="AG233" s="6"/>
      <c r="AH233" s="6"/>
      <c r="AI233" s="5" t="s">
        <v>358</v>
      </c>
      <c r="AJ233" s="6"/>
      <c r="AK233" s="6"/>
      <c r="AL233" s="6"/>
    </row>
    <row r="234" customFormat="false" ht="15" hidden="false" customHeight="false" outlineLevel="0" collapsed="false">
      <c r="A234" s="2" t="s">
        <v>157</v>
      </c>
      <c r="B234" s="2" t="s">
        <v>249</v>
      </c>
      <c r="C234" s="6"/>
      <c r="D234" s="6"/>
      <c r="E234" s="6"/>
      <c r="F234" s="6"/>
      <c r="G234" s="9" t="n">
        <v>16</v>
      </c>
      <c r="H234" s="6"/>
      <c r="I234" s="6"/>
      <c r="J234" s="6"/>
      <c r="K234" s="6"/>
      <c r="L234" s="6"/>
      <c r="M234" s="6"/>
      <c r="N234" s="6"/>
      <c r="O234" s="6"/>
      <c r="P234" s="6"/>
      <c r="Q234" s="9" t="n">
        <v>16</v>
      </c>
      <c r="R234" s="6"/>
      <c r="S234" s="6"/>
      <c r="T234" s="6"/>
      <c r="U234" s="6"/>
      <c r="V234" s="9" t="n">
        <v>16</v>
      </c>
      <c r="W234" s="6"/>
      <c r="X234" s="6"/>
      <c r="Y234" s="6"/>
      <c r="Z234" s="9" t="n">
        <v>16</v>
      </c>
      <c r="AA234" s="6"/>
      <c r="AB234" s="6"/>
      <c r="AC234" s="6"/>
      <c r="AD234" s="6"/>
      <c r="AE234" s="9" t="n">
        <v>16</v>
      </c>
      <c r="AF234" s="10" t="n">
        <f aca="false">IF(AG234&lt;&gt;"",AG234,SUM(G234,Q234,V234,Z234,AE234))</f>
        <v>80</v>
      </c>
      <c r="AG234" s="6"/>
      <c r="AH234" s="6"/>
      <c r="AI234" s="5" t="s">
        <v>358</v>
      </c>
      <c r="AJ234" s="6"/>
      <c r="AK234" s="6"/>
      <c r="AL234" s="6"/>
    </row>
    <row r="235" customFormat="false" ht="15" hidden="false" customHeight="false" outlineLevel="0" collapsed="false">
      <c r="A235" s="2" t="s">
        <v>308</v>
      </c>
      <c r="B235" s="2" t="s">
        <v>249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10" t="n">
        <f aca="false">IF(AG235&lt;&gt;"",AG235,SUM(G235,Q235,V235,Z235,AE235))</f>
        <v>0</v>
      </c>
      <c r="AG235" s="6"/>
      <c r="AH235" s="6"/>
      <c r="AI235" s="6"/>
      <c r="AJ235" s="6"/>
      <c r="AK235" s="6"/>
      <c r="AL235" s="6"/>
    </row>
    <row r="236" customFormat="false" ht="15" hidden="false" customHeight="false" outlineLevel="0" collapsed="false">
      <c r="A236" s="2" t="s">
        <v>309</v>
      </c>
      <c r="B236" s="2" t="s">
        <v>249</v>
      </c>
      <c r="C236" s="6"/>
      <c r="D236" s="6"/>
      <c r="E236" s="6"/>
      <c r="F236" s="6"/>
      <c r="G236" s="9" t="n">
        <v>16</v>
      </c>
      <c r="H236" s="6"/>
      <c r="I236" s="6"/>
      <c r="J236" s="6"/>
      <c r="K236" s="6"/>
      <c r="L236" s="6"/>
      <c r="M236" s="6"/>
      <c r="N236" s="6"/>
      <c r="O236" s="6"/>
      <c r="P236" s="6"/>
      <c r="Q236" s="9" t="n">
        <v>16</v>
      </c>
      <c r="R236" s="6"/>
      <c r="S236" s="6"/>
      <c r="T236" s="6"/>
      <c r="U236" s="6"/>
      <c r="V236" s="9" t="n">
        <v>16</v>
      </c>
      <c r="W236" s="6"/>
      <c r="X236" s="6"/>
      <c r="Y236" s="6"/>
      <c r="Z236" s="9" t="n">
        <v>16</v>
      </c>
      <c r="AA236" s="6"/>
      <c r="AB236" s="6"/>
      <c r="AC236" s="6"/>
      <c r="AD236" s="6"/>
      <c r="AE236" s="9" t="n">
        <v>16</v>
      </c>
      <c r="AF236" s="10" t="n">
        <f aca="false">IF(AG236&lt;&gt;"",AG236,SUM(G236,Q236,V236,Z236,AE236))</f>
        <v>80</v>
      </c>
      <c r="AG236" s="6"/>
      <c r="AH236" s="6"/>
      <c r="AI236" s="5" t="s">
        <v>358</v>
      </c>
      <c r="AJ236" s="6"/>
      <c r="AK236" s="6"/>
      <c r="AL236" s="6"/>
    </row>
    <row r="237" customFormat="false" ht="15" hidden="false" customHeight="false" outlineLevel="0" collapsed="false">
      <c r="A237" s="2" t="s">
        <v>310</v>
      </c>
      <c r="B237" s="2" t="s">
        <v>249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10" t="n">
        <f aca="false">IF(AG237&lt;&gt;"",AG237,SUM(G237,Q237,V237,Z237,AE237))</f>
        <v>0</v>
      </c>
      <c r="AG237" s="6"/>
      <c r="AH237" s="6"/>
      <c r="AI237" s="6"/>
      <c r="AJ237" s="6"/>
      <c r="AK237" s="6"/>
      <c r="AL237" s="6"/>
    </row>
    <row r="238" customFormat="false" ht="15" hidden="false" customHeight="false" outlineLevel="0" collapsed="false">
      <c r="A238" s="2" t="s">
        <v>311</v>
      </c>
      <c r="B238" s="2" t="s">
        <v>249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10" t="n">
        <f aca="false">IF(AG238&lt;&gt;"",AG238,SUM(G238,Q238,V238,Z238,AE238))</f>
        <v>0</v>
      </c>
      <c r="AG238" s="6"/>
      <c r="AH238" s="6"/>
      <c r="AI238" s="6"/>
      <c r="AJ238" s="6"/>
      <c r="AK238" s="6"/>
      <c r="AL238" s="6"/>
    </row>
    <row r="239" customFormat="false" ht="15" hidden="false" customHeight="false" outlineLevel="0" collapsed="false">
      <c r="A239" s="2" t="s">
        <v>313</v>
      </c>
      <c r="B239" s="2" t="s">
        <v>249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10" t="n">
        <f aca="false">IF(AG239&lt;&gt;"",AG239,SUM(G239,Q239,V239,Z239,AE239))</f>
        <v>0</v>
      </c>
      <c r="AG239" s="6"/>
      <c r="AH239" s="6"/>
      <c r="AI239" s="6"/>
      <c r="AJ239" s="6"/>
      <c r="AK239" s="6"/>
      <c r="AL239" s="6"/>
    </row>
    <row r="240" customFormat="false" ht="15" hidden="false" customHeight="false" outlineLevel="0" collapsed="false">
      <c r="A240" s="2" t="s">
        <v>314</v>
      </c>
      <c r="B240" s="2" t="s">
        <v>249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10" t="n">
        <f aca="false">IF(AG240&lt;&gt;"",AG240,SUM(G240,Q240,V240,Z240,AE240))</f>
        <v>0</v>
      </c>
      <c r="AG240" s="6"/>
      <c r="AH240" s="6"/>
      <c r="AI240" s="6"/>
      <c r="AJ240" s="6"/>
      <c r="AK240" s="6"/>
      <c r="AL240" s="6"/>
    </row>
    <row r="241" customFormat="false" ht="15" hidden="false" customHeight="false" outlineLevel="0" collapsed="false">
      <c r="A241" s="2" t="s">
        <v>315</v>
      </c>
      <c r="B241" s="2" t="s">
        <v>249</v>
      </c>
      <c r="C241" s="6"/>
      <c r="D241" s="6"/>
      <c r="E241" s="6"/>
      <c r="F241" s="6"/>
      <c r="G241" s="9" t="n">
        <v>20</v>
      </c>
      <c r="H241" s="6"/>
      <c r="I241" s="6"/>
      <c r="J241" s="6"/>
      <c r="K241" s="6"/>
      <c r="L241" s="6"/>
      <c r="M241" s="6"/>
      <c r="N241" s="6"/>
      <c r="O241" s="6"/>
      <c r="P241" s="6"/>
      <c r="Q241" s="9" t="n">
        <v>20</v>
      </c>
      <c r="R241" s="6"/>
      <c r="S241" s="6"/>
      <c r="T241" s="6"/>
      <c r="U241" s="6"/>
      <c r="V241" s="9" t="n">
        <v>20</v>
      </c>
      <c r="W241" s="6"/>
      <c r="X241" s="6"/>
      <c r="Y241" s="6"/>
      <c r="Z241" s="9" t="n">
        <v>20</v>
      </c>
      <c r="AA241" s="6"/>
      <c r="AB241" s="6"/>
      <c r="AC241" s="6"/>
      <c r="AD241" s="6"/>
      <c r="AE241" s="9" t="n">
        <v>20</v>
      </c>
      <c r="AF241" s="10" t="n">
        <f aca="false">IF(AG241&lt;&gt;"",AG241,SUM(G241,Q241,V241,Z241,AE241))</f>
        <v>100</v>
      </c>
      <c r="AG241" s="6"/>
      <c r="AH241" s="6"/>
      <c r="AI241" s="5" t="s">
        <v>358</v>
      </c>
      <c r="AJ241" s="6"/>
      <c r="AK241" s="6"/>
      <c r="AL241" s="6"/>
    </row>
    <row r="242" customFormat="false" ht="15" hidden="false" customHeight="false" outlineLevel="0" collapsed="false">
      <c r="A242" s="2" t="s">
        <v>316</v>
      </c>
      <c r="B242" s="2" t="s">
        <v>249</v>
      </c>
      <c r="C242" s="6"/>
      <c r="D242" s="6"/>
      <c r="E242" s="6"/>
      <c r="F242" s="6"/>
      <c r="G242" s="9" t="n">
        <v>20</v>
      </c>
      <c r="H242" s="6"/>
      <c r="I242" s="6"/>
      <c r="J242" s="6"/>
      <c r="K242" s="6"/>
      <c r="L242" s="6"/>
      <c r="M242" s="6"/>
      <c r="N242" s="6"/>
      <c r="O242" s="6"/>
      <c r="P242" s="6"/>
      <c r="Q242" s="9" t="n">
        <v>20</v>
      </c>
      <c r="R242" s="6"/>
      <c r="S242" s="6"/>
      <c r="T242" s="6"/>
      <c r="U242" s="6"/>
      <c r="V242" s="9" t="n">
        <v>20</v>
      </c>
      <c r="W242" s="6"/>
      <c r="X242" s="6"/>
      <c r="Y242" s="6"/>
      <c r="Z242" s="9" t="n">
        <v>20</v>
      </c>
      <c r="AA242" s="6"/>
      <c r="AB242" s="6"/>
      <c r="AC242" s="6"/>
      <c r="AD242" s="6"/>
      <c r="AE242" s="9" t="n">
        <v>20</v>
      </c>
      <c r="AF242" s="10" t="n">
        <f aca="false">IF(AG242&lt;&gt;"",AG242,SUM(G242,Q242,V242,Z242,AE242))</f>
        <v>100</v>
      </c>
      <c r="AG242" s="6"/>
      <c r="AH242" s="6"/>
      <c r="AI242" s="5" t="s">
        <v>358</v>
      </c>
      <c r="AJ242" s="6"/>
      <c r="AK242" s="6"/>
      <c r="AL242" s="6"/>
    </row>
    <row r="243" customFormat="false" ht="15" hidden="false" customHeight="false" outlineLevel="0" collapsed="false">
      <c r="A243" s="2" t="s">
        <v>317</v>
      </c>
      <c r="B243" s="2" t="s">
        <v>249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10" t="n">
        <f aca="false">IF(AG243&lt;&gt;"",AG243,SUM(G243,Q243,V243,Z243,AE243))</f>
        <v>0</v>
      </c>
      <c r="AG243" s="6"/>
      <c r="AH243" s="6"/>
      <c r="AI243" s="6"/>
      <c r="AJ243" s="6"/>
      <c r="AK243" s="6"/>
      <c r="AL243" s="6"/>
    </row>
    <row r="244" customFormat="false" ht="15" hidden="false" customHeight="false" outlineLevel="0" collapsed="false">
      <c r="A244" s="2" t="s">
        <v>318</v>
      </c>
      <c r="B244" s="2" t="s">
        <v>249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10" t="n">
        <f aca="false">IF(AG244&lt;&gt;"",AG244,SUM(G244,Q244,V244,Z244,AE244))</f>
        <v>0</v>
      </c>
      <c r="AG244" s="6"/>
      <c r="AH244" s="6"/>
      <c r="AI244" s="6"/>
      <c r="AJ244" s="6"/>
      <c r="AK244" s="6"/>
      <c r="AL244" s="6"/>
    </row>
    <row r="245" customFormat="false" ht="15" hidden="false" customHeight="false" outlineLevel="0" collapsed="false">
      <c r="A245" s="2" t="s">
        <v>319</v>
      </c>
      <c r="B245" s="2" t="s">
        <v>249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10" t="n">
        <f aca="false">IF(AG245&lt;&gt;"",AG245,SUM(G245,Q245,V245,Z245,AE245))</f>
        <v>0</v>
      </c>
      <c r="AG245" s="6"/>
      <c r="AH245" s="6"/>
      <c r="AI245" s="6"/>
      <c r="AJ245" s="6"/>
      <c r="AK245" s="6"/>
      <c r="AL245" s="6"/>
    </row>
    <row r="246" customFormat="false" ht="15" hidden="false" customHeight="false" outlineLevel="0" collapsed="false">
      <c r="A246" s="2" t="s">
        <v>320</v>
      </c>
      <c r="B246" s="2" t="s">
        <v>249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10" t="n">
        <f aca="false">IF(AG246&lt;&gt;"",AG246,SUM(G246,Q246,V246,Z246,AE246))</f>
        <v>0</v>
      </c>
      <c r="AG246" s="6"/>
      <c r="AH246" s="6"/>
      <c r="AI246" s="6"/>
      <c r="AJ246" s="6"/>
      <c r="AK246" s="6"/>
      <c r="AL246" s="6"/>
    </row>
  </sheetData>
  <autoFilter ref="A1:AL246"/>
  <dataValidations count="4">
    <dataValidation allowBlank="false" errorStyle="stop" operator="between" showDropDown="false" showErrorMessage="false" showInputMessage="false" sqref="D2:D246 F2:F246" type="list">
      <formula1>"Permitted by Right,Conditional Use,Special Use,PUD Required,Prohibited,Unknown"</formula1>
      <formula2>0</formula2>
    </dataValidation>
    <dataValidation allowBlank="false" errorStyle="stop" operator="between" showDropDown="false" showErrorMessage="false" showInputMessage="false" sqref="O2:P246 AB2:AC246" type="list">
      <formula1>"Yes,No,Unknown"</formula1>
      <formula2>0</formula2>
    </dataValidation>
    <dataValidation allowBlank="false" errorStyle="stop" operator="between" showDropDown="false" showErrorMessage="false" showInputMessage="false" sqref="AA2:AA246" type="list">
      <formula1>"Very Friendly,Friendly,Neutral,Cautious,Hostile,Unknown"</formula1>
      <formula2>0</formula2>
    </dataValidation>
    <dataValidation allowBlank="false" errorStyle="stop" operator="between" showDropDown="false" showErrorMessage="false" showInputMessage="false" sqref="AI2:AI246" type="list">
      <formula1>"High,Medium,Low,AI Estimate"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9" min="9" style="0" width="35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</row>
    <row r="2" customFormat="false" ht="15" hidden="false" customHeight="false" outlineLevel="0" collapsed="false">
      <c r="A2" s="2" t="s">
        <v>20</v>
      </c>
      <c r="B2" s="2" t="s">
        <v>12</v>
      </c>
      <c r="C2" s="2" t="s">
        <v>371</v>
      </c>
      <c r="D2" s="2" t="s">
        <v>372</v>
      </c>
      <c r="E2" s="2" t="s">
        <v>373</v>
      </c>
      <c r="F2" s="2" t="s">
        <v>374</v>
      </c>
      <c r="G2" s="2" t="s">
        <v>375</v>
      </c>
      <c r="H2" s="2" t="s">
        <v>376</v>
      </c>
      <c r="I2" s="2"/>
      <c r="J2" s="2" t="s">
        <v>377</v>
      </c>
    </row>
    <row r="3" customFormat="false" ht="15" hidden="false" customHeight="false" outlineLevel="0" collapsed="false">
      <c r="A3" s="2" t="s">
        <v>20</v>
      </c>
      <c r="B3" s="2" t="s">
        <v>12</v>
      </c>
      <c r="C3" s="2" t="s">
        <v>378</v>
      </c>
      <c r="D3" s="2" t="s">
        <v>379</v>
      </c>
      <c r="E3" s="2" t="s">
        <v>373</v>
      </c>
      <c r="F3" s="2" t="s">
        <v>380</v>
      </c>
      <c r="G3" s="2" t="s">
        <v>381</v>
      </c>
      <c r="H3" s="2" t="s">
        <v>382</v>
      </c>
      <c r="I3" s="2"/>
      <c r="J3" s="2" t="s">
        <v>377</v>
      </c>
    </row>
  </sheetData>
  <dataValidations count="2">
    <dataValidation allowBlank="false" errorStyle="stop" operator="between" showDropDown="false" showErrorMessage="false" showInputMessage="false" sqref="E2:E503" type="list">
      <formula1>"Drive-Thru Coffee,Drive-Thru QSR,Car Wash,Drive-Thru + Car Wash,Other"</formula1>
      <formula2>0</formula2>
    </dataValidation>
    <dataValidation allowBlank="false" errorStyle="stop" operator="between" showDropDown="false" showErrorMessage="false" showInputMessage="false" sqref="G2:G503" type="list">
      <formula1>"Approved,Approved w/ Conditions,Denied,Withdrawn,Pending,Tabled"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25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</row>
    <row r="2" customFormat="false" ht="15" hidden="false" customHeight="false" outlineLevel="0" collapsed="false">
      <c r="A2" s="2" t="s">
        <v>20</v>
      </c>
      <c r="B2" s="2" t="s">
        <v>12</v>
      </c>
      <c r="C2" s="2" t="s">
        <v>371</v>
      </c>
      <c r="D2" s="2" t="s">
        <v>389</v>
      </c>
      <c r="E2" s="2" t="s">
        <v>373</v>
      </c>
      <c r="F2" s="2" t="s">
        <v>390</v>
      </c>
      <c r="G2" s="2" t="n">
        <v>2024</v>
      </c>
      <c r="H2" s="2" t="s">
        <v>391</v>
      </c>
    </row>
  </sheetData>
  <dataValidations count="1">
    <dataValidation allowBlank="false" errorStyle="stop" operator="between" showDropDown="false" showErrorMessage="false" showInputMessage="false" sqref="E2:E501" type="list">
      <formula1>"Car Wash,Drive-Thru Coffee,Drive-Thru QSR,Drive-Thru Bank,Other Drive-Thru"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P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9" min="5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25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353</v>
      </c>
      <c r="M1" s="1" t="s">
        <v>356</v>
      </c>
      <c r="N1" s="1" t="s">
        <v>400</v>
      </c>
      <c r="O1" s="1" t="s">
        <v>401</v>
      </c>
      <c r="P1" s="1" t="s">
        <v>402</v>
      </c>
    </row>
    <row r="2" customFormat="false" ht="15" hidden="false" customHeight="false" outlineLevel="0" collapsed="false">
      <c r="A2" s="2" t="s">
        <v>11</v>
      </c>
      <c r="B2" s="2" t="s">
        <v>12</v>
      </c>
      <c r="C2" s="3" t="n">
        <v>2700000</v>
      </c>
      <c r="D2" s="2" t="s">
        <v>403</v>
      </c>
      <c r="E2" s="6" t="n">
        <f aca="false">'Zoning Research'!G2</f>
        <v>18</v>
      </c>
      <c r="F2" s="6" t="n">
        <f aca="false">'Zoning Research'!Q2</f>
        <v>18</v>
      </c>
      <c r="G2" s="6" t="n">
        <f aca="false">'Zoning Research'!V2</f>
        <v>18</v>
      </c>
      <c r="H2" s="6" t="n">
        <f aca="false">'Zoning Research'!Z2</f>
        <v>18</v>
      </c>
      <c r="I2" s="6" t="n">
        <f aca="false">'Zoning Research'!AE2</f>
        <v>18</v>
      </c>
      <c r="J2" s="12" t="n">
        <f aca="false">'Zoning Research'!AF2</f>
        <v>90</v>
      </c>
      <c r="K2" s="6" t="n">
        <f aca="false">'Zoning Research'!AG2</f>
        <v>0</v>
      </c>
      <c r="L2" s="6" t="n">
        <f aca="false">'Zoning Research'!AH2</f>
        <v>0</v>
      </c>
      <c r="M2" s="6" t="str">
        <f aca="false">'Zoning Research'!AI2</f>
        <v>AI Estimate</v>
      </c>
      <c r="N2" s="2" t="n">
        <v>95</v>
      </c>
      <c r="O2" s="2" t="n">
        <v>85</v>
      </c>
      <c r="P2" s="2" t="n">
        <f aca="false">IF(J2="","",J2-AVERAGE(N2,O2))</f>
        <v>0</v>
      </c>
    </row>
    <row r="3" customFormat="false" ht="15" hidden="false" customHeight="false" outlineLevel="0" collapsed="false">
      <c r="A3" s="2" t="s">
        <v>18</v>
      </c>
      <c r="B3" s="2" t="s">
        <v>12</v>
      </c>
      <c r="C3" s="3" t="n">
        <v>197000</v>
      </c>
      <c r="D3" s="2" t="s">
        <v>403</v>
      </c>
      <c r="E3" s="6" t="n">
        <f aca="false">'Zoning Research'!G3</f>
        <v>20</v>
      </c>
      <c r="F3" s="6" t="n">
        <f aca="false">'Zoning Research'!Q3</f>
        <v>20</v>
      </c>
      <c r="G3" s="6" t="n">
        <f aca="false">'Zoning Research'!V3</f>
        <v>20</v>
      </c>
      <c r="H3" s="6" t="n">
        <f aca="false">'Zoning Research'!Z3</f>
        <v>20</v>
      </c>
      <c r="I3" s="6" t="n">
        <f aca="false">'Zoning Research'!AE3</f>
        <v>20</v>
      </c>
      <c r="J3" s="12" t="n">
        <f aca="false">'Zoning Research'!AF3</f>
        <v>100</v>
      </c>
      <c r="K3" s="6" t="n">
        <f aca="false">'Zoning Research'!AG3</f>
        <v>0</v>
      </c>
      <c r="L3" s="6" t="n">
        <f aca="false">'Zoning Research'!AH3</f>
        <v>0</v>
      </c>
      <c r="M3" s="6" t="str">
        <f aca="false">'Zoning Research'!AI3</f>
        <v>AI Estimate</v>
      </c>
      <c r="N3" s="2" t="n">
        <v>100</v>
      </c>
      <c r="O3" s="2" t="n">
        <v>100</v>
      </c>
      <c r="P3" s="2" t="n">
        <f aca="false">IF(J3="","",J3-AVERAGE(N3,O3))</f>
        <v>0</v>
      </c>
    </row>
    <row r="4" customFormat="false" ht="15" hidden="false" customHeight="false" outlineLevel="0" collapsed="false">
      <c r="A4" s="2" t="s">
        <v>20</v>
      </c>
      <c r="B4" s="2" t="s">
        <v>12</v>
      </c>
      <c r="C4" s="3" t="n">
        <v>149000</v>
      </c>
      <c r="D4" s="2" t="s">
        <v>403</v>
      </c>
      <c r="E4" s="6" t="n">
        <f aca="false">'Zoning Research'!G4</f>
        <v>12</v>
      </c>
      <c r="F4" s="6" t="n">
        <f aca="false">'Zoning Research'!Q4</f>
        <v>8</v>
      </c>
      <c r="G4" s="6" t="n">
        <f aca="false">'Zoning Research'!V4</f>
        <v>5</v>
      </c>
      <c r="H4" s="6" t="n">
        <f aca="false">'Zoning Research'!Z4</f>
        <v>8</v>
      </c>
      <c r="I4" s="6" t="n">
        <f aca="false">'Zoning Research'!AE4</f>
        <v>5</v>
      </c>
      <c r="J4" s="12" t="n">
        <f aca="false">'Zoning Research'!AF4</f>
        <v>38</v>
      </c>
      <c r="K4" s="6" t="n">
        <f aca="false">'Zoning Research'!AG4</f>
        <v>0</v>
      </c>
      <c r="L4" s="6" t="n">
        <f aca="false">'Zoning Research'!AH4</f>
        <v>0</v>
      </c>
      <c r="M4" s="6" t="str">
        <f aca="false">'Zoning Research'!AI4</f>
        <v>High</v>
      </c>
      <c r="N4" s="2" t="n">
        <v>75</v>
      </c>
      <c r="O4" s="2" t="n">
        <v>65</v>
      </c>
      <c r="P4" s="2" t="n">
        <f aca="false">IF(J4="","",J4-AVERAGE(N4,O4))</f>
        <v>-32</v>
      </c>
    </row>
    <row r="5" customFormat="false" ht="15" hidden="false" customHeight="false" outlineLevel="0" collapsed="false">
      <c r="A5" s="2" t="s">
        <v>22</v>
      </c>
      <c r="B5" s="2" t="s">
        <v>12</v>
      </c>
      <c r="C5" s="3" t="n">
        <v>148000</v>
      </c>
      <c r="D5" s="2" t="s">
        <v>403</v>
      </c>
      <c r="E5" s="6" t="n">
        <f aca="false">'Zoning Research'!G5</f>
        <v>20</v>
      </c>
      <c r="F5" s="6" t="n">
        <f aca="false">'Zoning Research'!Q5</f>
        <v>20</v>
      </c>
      <c r="G5" s="6" t="n">
        <f aca="false">'Zoning Research'!V5</f>
        <v>20</v>
      </c>
      <c r="H5" s="6" t="n">
        <f aca="false">'Zoning Research'!Z5</f>
        <v>20</v>
      </c>
      <c r="I5" s="6" t="n">
        <f aca="false">'Zoning Research'!AE5</f>
        <v>20</v>
      </c>
      <c r="J5" s="12" t="n">
        <f aca="false">'Zoning Research'!AF5</f>
        <v>100</v>
      </c>
      <c r="K5" s="6" t="n">
        <f aca="false">'Zoning Research'!AG5</f>
        <v>0</v>
      </c>
      <c r="L5" s="6" t="n">
        <f aca="false">'Zoning Research'!AH5</f>
        <v>0</v>
      </c>
      <c r="M5" s="6" t="str">
        <f aca="false">'Zoning Research'!AI5</f>
        <v>AI Estimate</v>
      </c>
      <c r="N5" s="2" t="n">
        <v>100</v>
      </c>
      <c r="O5" s="2" t="n">
        <v>100</v>
      </c>
      <c r="P5" s="2" t="n">
        <f aca="false">IF(J5="","",J5-AVERAGE(N5,O5))</f>
        <v>0</v>
      </c>
    </row>
    <row r="6" customFormat="false" ht="15" hidden="false" customHeight="false" outlineLevel="0" collapsed="false">
      <c r="A6" s="2" t="s">
        <v>24</v>
      </c>
      <c r="B6" s="2" t="s">
        <v>12</v>
      </c>
      <c r="C6" s="3" t="n">
        <v>146000</v>
      </c>
      <c r="D6" s="2" t="s">
        <v>403</v>
      </c>
      <c r="E6" s="6" t="n">
        <f aca="false">'Zoning Research'!G6</f>
        <v>0</v>
      </c>
      <c r="F6" s="6" t="n">
        <f aca="false">'Zoning Research'!Q6</f>
        <v>0</v>
      </c>
      <c r="G6" s="6" t="n">
        <f aca="false">'Zoning Research'!V6</f>
        <v>0</v>
      </c>
      <c r="H6" s="6" t="n">
        <f aca="false">'Zoning Research'!Z6</f>
        <v>0</v>
      </c>
      <c r="I6" s="6" t="n">
        <f aca="false">'Zoning Research'!AE6</f>
        <v>0</v>
      </c>
      <c r="J6" s="12" t="n">
        <f aca="false">'Zoning Research'!AF6</f>
        <v>0</v>
      </c>
      <c r="K6" s="6" t="n">
        <f aca="false">'Zoning Research'!AG6</f>
        <v>0</v>
      </c>
      <c r="L6" s="6" t="n">
        <f aca="false">'Zoning Research'!AH6</f>
        <v>0</v>
      </c>
      <c r="M6" s="6" t="n">
        <f aca="false">'Zoning Research'!AI6</f>
        <v>0</v>
      </c>
      <c r="N6" s="6"/>
      <c r="O6" s="6"/>
      <c r="P6" s="6"/>
    </row>
    <row r="7" customFormat="false" ht="15" hidden="false" customHeight="false" outlineLevel="0" collapsed="false">
      <c r="A7" s="2" t="s">
        <v>28</v>
      </c>
      <c r="B7" s="2" t="s">
        <v>12</v>
      </c>
      <c r="C7" s="3" t="n">
        <v>114000</v>
      </c>
      <c r="D7" s="2" t="s">
        <v>403</v>
      </c>
      <c r="E7" s="6" t="n">
        <f aca="false">'Zoning Research'!G7</f>
        <v>0</v>
      </c>
      <c r="F7" s="6" t="n">
        <f aca="false">'Zoning Research'!Q7</f>
        <v>0</v>
      </c>
      <c r="G7" s="6" t="n">
        <f aca="false">'Zoning Research'!V7</f>
        <v>0</v>
      </c>
      <c r="H7" s="6" t="n">
        <f aca="false">'Zoning Research'!Z7</f>
        <v>0</v>
      </c>
      <c r="I7" s="6" t="n">
        <f aca="false">'Zoning Research'!AE7</f>
        <v>0</v>
      </c>
      <c r="J7" s="12" t="n">
        <f aca="false">'Zoning Research'!AF7</f>
        <v>0</v>
      </c>
      <c r="K7" s="6" t="n">
        <f aca="false">'Zoning Research'!AG7</f>
        <v>0</v>
      </c>
      <c r="L7" s="6" t="n">
        <f aca="false">'Zoning Research'!AH7</f>
        <v>0</v>
      </c>
      <c r="M7" s="6" t="n">
        <f aca="false">'Zoning Research'!AI7</f>
        <v>0</v>
      </c>
      <c r="N7" s="6"/>
      <c r="O7" s="6"/>
      <c r="P7" s="6"/>
    </row>
    <row r="8" customFormat="false" ht="15" hidden="false" customHeight="false" outlineLevel="0" collapsed="false">
      <c r="A8" s="2" t="s">
        <v>30</v>
      </c>
      <c r="B8" s="2" t="s">
        <v>12</v>
      </c>
      <c r="C8" s="3" t="n">
        <v>112000</v>
      </c>
      <c r="D8" s="2" t="s">
        <v>403</v>
      </c>
      <c r="E8" s="6" t="n">
        <f aca="false">'Zoning Research'!G8</f>
        <v>0</v>
      </c>
      <c r="F8" s="6" t="n">
        <f aca="false">'Zoning Research'!Q8</f>
        <v>0</v>
      </c>
      <c r="G8" s="6" t="n">
        <f aca="false">'Zoning Research'!V8</f>
        <v>0</v>
      </c>
      <c r="H8" s="6" t="n">
        <f aca="false">'Zoning Research'!Z8</f>
        <v>0</v>
      </c>
      <c r="I8" s="6" t="n">
        <f aca="false">'Zoning Research'!AE8</f>
        <v>0</v>
      </c>
      <c r="J8" s="12" t="n">
        <f aca="false">'Zoning Research'!AF8</f>
        <v>0</v>
      </c>
      <c r="K8" s="6" t="n">
        <f aca="false">'Zoning Research'!AG8</f>
        <v>0</v>
      </c>
      <c r="L8" s="6" t="n">
        <f aca="false">'Zoning Research'!AH8</f>
        <v>0</v>
      </c>
      <c r="M8" s="6" t="n">
        <f aca="false">'Zoning Research'!AI8</f>
        <v>0</v>
      </c>
      <c r="N8" s="6"/>
      <c r="O8" s="6"/>
      <c r="P8" s="6"/>
    </row>
    <row r="9" customFormat="false" ht="15" hidden="false" customHeight="false" outlineLevel="0" collapsed="false">
      <c r="A9" s="2" t="s">
        <v>32</v>
      </c>
      <c r="B9" s="2" t="s">
        <v>12</v>
      </c>
      <c r="C9" s="3" t="n">
        <v>110000</v>
      </c>
      <c r="D9" s="2" t="s">
        <v>403</v>
      </c>
      <c r="E9" s="6" t="n">
        <f aca="false">'Zoning Research'!G9</f>
        <v>0</v>
      </c>
      <c r="F9" s="6" t="n">
        <f aca="false">'Zoning Research'!Q9</f>
        <v>0</v>
      </c>
      <c r="G9" s="6" t="n">
        <f aca="false">'Zoning Research'!V9</f>
        <v>0</v>
      </c>
      <c r="H9" s="6" t="n">
        <f aca="false">'Zoning Research'!Z9</f>
        <v>0</v>
      </c>
      <c r="I9" s="6" t="n">
        <f aca="false">'Zoning Research'!AE9</f>
        <v>0</v>
      </c>
      <c r="J9" s="12" t="n">
        <f aca="false">'Zoning Research'!AF9</f>
        <v>0</v>
      </c>
      <c r="K9" s="6" t="n">
        <f aca="false">'Zoning Research'!AG9</f>
        <v>0</v>
      </c>
      <c r="L9" s="6" t="n">
        <f aca="false">'Zoning Research'!AH9</f>
        <v>0</v>
      </c>
      <c r="M9" s="6" t="n">
        <f aca="false">'Zoning Research'!AI9</f>
        <v>0</v>
      </c>
      <c r="N9" s="6"/>
      <c r="O9" s="6"/>
      <c r="P9" s="6"/>
    </row>
    <row r="10" customFormat="false" ht="15" hidden="false" customHeight="false" outlineLevel="0" collapsed="false">
      <c r="A10" s="2" t="s">
        <v>33</v>
      </c>
      <c r="B10" s="2" t="s">
        <v>12</v>
      </c>
      <c r="C10" s="3" t="n">
        <v>88000</v>
      </c>
      <c r="D10" s="2" t="s">
        <v>403</v>
      </c>
      <c r="E10" s="6" t="n">
        <f aca="false">'Zoning Research'!G10</f>
        <v>0</v>
      </c>
      <c r="F10" s="6" t="n">
        <f aca="false">'Zoning Research'!Q10</f>
        <v>0</v>
      </c>
      <c r="G10" s="6" t="n">
        <f aca="false">'Zoning Research'!V10</f>
        <v>0</v>
      </c>
      <c r="H10" s="6" t="n">
        <f aca="false">'Zoning Research'!Z10</f>
        <v>0</v>
      </c>
      <c r="I10" s="6" t="n">
        <f aca="false">'Zoning Research'!AE10</f>
        <v>0</v>
      </c>
      <c r="J10" s="12" t="n">
        <f aca="false">'Zoning Research'!AF10</f>
        <v>0</v>
      </c>
      <c r="K10" s="6" t="n">
        <f aca="false">'Zoning Research'!AG10</f>
        <v>0</v>
      </c>
      <c r="L10" s="6" t="n">
        <f aca="false">'Zoning Research'!AH10</f>
        <v>0</v>
      </c>
      <c r="M10" s="6" t="n">
        <f aca="false">'Zoning Research'!AI10</f>
        <v>0</v>
      </c>
      <c r="N10" s="6"/>
      <c r="O10" s="6"/>
      <c r="P10" s="6"/>
    </row>
    <row r="11" customFormat="false" ht="15" hidden="false" customHeight="false" outlineLevel="0" collapsed="false">
      <c r="A11" s="2" t="s">
        <v>34</v>
      </c>
      <c r="B11" s="2" t="s">
        <v>12</v>
      </c>
      <c r="C11" s="3" t="n">
        <v>87000</v>
      </c>
      <c r="D11" s="2" t="s">
        <v>403</v>
      </c>
      <c r="E11" s="6" t="n">
        <f aca="false">'Zoning Research'!G11</f>
        <v>20</v>
      </c>
      <c r="F11" s="6" t="n">
        <f aca="false">'Zoning Research'!Q11</f>
        <v>20</v>
      </c>
      <c r="G11" s="6" t="n">
        <f aca="false">'Zoning Research'!V11</f>
        <v>20</v>
      </c>
      <c r="H11" s="6" t="n">
        <f aca="false">'Zoning Research'!Z11</f>
        <v>20</v>
      </c>
      <c r="I11" s="6" t="n">
        <f aca="false">'Zoning Research'!AE11</f>
        <v>20</v>
      </c>
      <c r="J11" s="12" t="n">
        <f aca="false">'Zoning Research'!AF11</f>
        <v>100</v>
      </c>
      <c r="K11" s="6" t="n">
        <f aca="false">'Zoning Research'!AG11</f>
        <v>0</v>
      </c>
      <c r="L11" s="6" t="n">
        <f aca="false">'Zoning Research'!AH11</f>
        <v>0</v>
      </c>
      <c r="M11" s="6" t="str">
        <f aca="false">'Zoning Research'!AI11</f>
        <v>AI Estimate</v>
      </c>
      <c r="N11" s="2" t="n">
        <v>100</v>
      </c>
      <c r="O11" s="2" t="n">
        <v>100</v>
      </c>
      <c r="P11" s="2" t="n">
        <f aca="false">IF(J11="","",J11-AVERAGE(N11,O11))</f>
        <v>0</v>
      </c>
    </row>
    <row r="12" customFormat="false" ht="15" hidden="false" customHeight="false" outlineLevel="0" collapsed="false">
      <c r="A12" s="2" t="s">
        <v>36</v>
      </c>
      <c r="B12" s="2" t="s">
        <v>12</v>
      </c>
      <c r="C12" s="3" t="n">
        <v>84000</v>
      </c>
      <c r="D12" s="2" t="s">
        <v>403</v>
      </c>
      <c r="E12" s="6" t="n">
        <f aca="false">'Zoning Research'!G12</f>
        <v>20</v>
      </c>
      <c r="F12" s="6" t="n">
        <f aca="false">'Zoning Research'!Q12</f>
        <v>20</v>
      </c>
      <c r="G12" s="6" t="n">
        <f aca="false">'Zoning Research'!V12</f>
        <v>20</v>
      </c>
      <c r="H12" s="6" t="n">
        <f aca="false">'Zoning Research'!Z12</f>
        <v>20</v>
      </c>
      <c r="I12" s="6" t="n">
        <f aca="false">'Zoning Research'!AE12</f>
        <v>20</v>
      </c>
      <c r="J12" s="12" t="n">
        <f aca="false">'Zoning Research'!AF12</f>
        <v>100</v>
      </c>
      <c r="K12" s="6" t="n">
        <f aca="false">'Zoning Research'!AG12</f>
        <v>0</v>
      </c>
      <c r="L12" s="6" t="n">
        <f aca="false">'Zoning Research'!AH12</f>
        <v>0</v>
      </c>
      <c r="M12" s="6" t="str">
        <f aca="false">'Zoning Research'!AI12</f>
        <v>AI Estimate</v>
      </c>
      <c r="N12" s="2" t="n">
        <v>100</v>
      </c>
      <c r="O12" s="2" t="n">
        <v>100</v>
      </c>
      <c r="P12" s="2" t="n">
        <f aca="false">IF(J12="","",J12-AVERAGE(N12,O12))</f>
        <v>0</v>
      </c>
    </row>
    <row r="13" customFormat="false" ht="15" hidden="false" customHeight="false" outlineLevel="0" collapsed="false">
      <c r="A13" s="2" t="s">
        <v>37</v>
      </c>
      <c r="B13" s="2" t="s">
        <v>12</v>
      </c>
      <c r="C13" s="3" t="n">
        <v>78000</v>
      </c>
      <c r="D13" s="2" t="s">
        <v>403</v>
      </c>
      <c r="E13" s="6" t="n">
        <f aca="false">'Zoning Research'!G13</f>
        <v>0</v>
      </c>
      <c r="F13" s="6" t="n">
        <f aca="false">'Zoning Research'!Q13</f>
        <v>0</v>
      </c>
      <c r="G13" s="6" t="n">
        <f aca="false">'Zoning Research'!V13</f>
        <v>0</v>
      </c>
      <c r="H13" s="6" t="n">
        <f aca="false">'Zoning Research'!Z13</f>
        <v>0</v>
      </c>
      <c r="I13" s="6" t="n">
        <f aca="false">'Zoning Research'!AE13</f>
        <v>0</v>
      </c>
      <c r="J13" s="12" t="n">
        <f aca="false">'Zoning Research'!AF13</f>
        <v>0</v>
      </c>
      <c r="K13" s="6" t="n">
        <f aca="false">'Zoning Research'!AG13</f>
        <v>0</v>
      </c>
      <c r="L13" s="6" t="n">
        <f aca="false">'Zoning Research'!AH13</f>
        <v>0</v>
      </c>
      <c r="M13" s="6" t="n">
        <f aca="false">'Zoning Research'!AI13</f>
        <v>0</v>
      </c>
      <c r="N13" s="6"/>
      <c r="O13" s="6"/>
      <c r="P13" s="6"/>
    </row>
    <row r="14" customFormat="false" ht="15" hidden="false" customHeight="false" outlineLevel="0" collapsed="false">
      <c r="A14" s="2" t="s">
        <v>39</v>
      </c>
      <c r="B14" s="2" t="s">
        <v>12</v>
      </c>
      <c r="C14" s="3" t="n">
        <v>76000</v>
      </c>
      <c r="D14" s="2" t="s">
        <v>403</v>
      </c>
      <c r="E14" s="6" t="n">
        <f aca="false">'Zoning Research'!G14</f>
        <v>16</v>
      </c>
      <c r="F14" s="6" t="n">
        <f aca="false">'Zoning Research'!Q14</f>
        <v>16</v>
      </c>
      <c r="G14" s="6" t="n">
        <f aca="false">'Zoning Research'!V14</f>
        <v>16</v>
      </c>
      <c r="H14" s="6" t="n">
        <f aca="false">'Zoning Research'!Z14</f>
        <v>16</v>
      </c>
      <c r="I14" s="6" t="n">
        <f aca="false">'Zoning Research'!AE14</f>
        <v>16</v>
      </c>
      <c r="J14" s="12" t="n">
        <f aca="false">'Zoning Research'!AF14</f>
        <v>80</v>
      </c>
      <c r="K14" s="6" t="n">
        <f aca="false">'Zoning Research'!AG14</f>
        <v>0</v>
      </c>
      <c r="L14" s="6" t="n">
        <f aca="false">'Zoning Research'!AH14</f>
        <v>0</v>
      </c>
      <c r="M14" s="6" t="str">
        <f aca="false">'Zoning Research'!AI14</f>
        <v>AI Estimate</v>
      </c>
      <c r="N14" s="2" t="n">
        <v>75</v>
      </c>
      <c r="O14" s="2" t="n">
        <v>85</v>
      </c>
      <c r="P14" s="2" t="n">
        <f aca="false">IF(J14="","",J14-AVERAGE(N14,O14))</f>
        <v>0</v>
      </c>
    </row>
    <row r="15" customFormat="false" ht="15" hidden="false" customHeight="false" outlineLevel="0" collapsed="false">
      <c r="A15" s="2" t="s">
        <v>40</v>
      </c>
      <c r="B15" s="2" t="s">
        <v>12</v>
      </c>
      <c r="C15" s="3" t="n">
        <v>74000</v>
      </c>
      <c r="D15" s="2" t="s">
        <v>403</v>
      </c>
      <c r="E15" s="6" t="n">
        <f aca="false">'Zoning Research'!G15</f>
        <v>16</v>
      </c>
      <c r="F15" s="6" t="n">
        <f aca="false">'Zoning Research'!Q15</f>
        <v>16</v>
      </c>
      <c r="G15" s="6" t="n">
        <f aca="false">'Zoning Research'!V15</f>
        <v>16</v>
      </c>
      <c r="H15" s="6" t="n">
        <f aca="false">'Zoning Research'!Z15</f>
        <v>16</v>
      </c>
      <c r="I15" s="6" t="n">
        <f aca="false">'Zoning Research'!AE15</f>
        <v>16</v>
      </c>
      <c r="J15" s="12" t="n">
        <f aca="false">'Zoning Research'!AF15</f>
        <v>80</v>
      </c>
      <c r="K15" s="6" t="n">
        <f aca="false">'Zoning Research'!AG15</f>
        <v>0</v>
      </c>
      <c r="L15" s="6" t="n">
        <f aca="false">'Zoning Research'!AH15</f>
        <v>0</v>
      </c>
      <c r="M15" s="6" t="str">
        <f aca="false">'Zoning Research'!AI15</f>
        <v>AI Estimate</v>
      </c>
      <c r="N15" s="2" t="n">
        <v>65</v>
      </c>
      <c r="O15" s="2" t="n">
        <v>100</v>
      </c>
      <c r="P15" s="2" t="n">
        <f aca="false">IF(J15="","",J15-AVERAGE(N15,O15))</f>
        <v>-2.5</v>
      </c>
    </row>
    <row r="16" customFormat="false" ht="15" hidden="false" customHeight="false" outlineLevel="0" collapsed="false">
      <c r="A16" s="2" t="s">
        <v>41</v>
      </c>
      <c r="B16" s="2" t="s">
        <v>12</v>
      </c>
      <c r="C16" s="3" t="n">
        <v>74000</v>
      </c>
      <c r="D16" s="2" t="s">
        <v>403</v>
      </c>
      <c r="E16" s="6" t="n">
        <f aca="false">'Zoning Research'!G16</f>
        <v>14</v>
      </c>
      <c r="F16" s="6" t="n">
        <f aca="false">'Zoning Research'!Q16</f>
        <v>14</v>
      </c>
      <c r="G16" s="6" t="n">
        <f aca="false">'Zoning Research'!V16</f>
        <v>14</v>
      </c>
      <c r="H16" s="6" t="n">
        <f aca="false">'Zoning Research'!Z16</f>
        <v>14</v>
      </c>
      <c r="I16" s="6" t="n">
        <f aca="false">'Zoning Research'!AE16</f>
        <v>14</v>
      </c>
      <c r="J16" s="12" t="n">
        <f aca="false">'Zoning Research'!AF16</f>
        <v>70</v>
      </c>
      <c r="K16" s="6" t="n">
        <f aca="false">'Zoning Research'!AG16</f>
        <v>0</v>
      </c>
      <c r="L16" s="6" t="n">
        <f aca="false">'Zoning Research'!AH16</f>
        <v>0</v>
      </c>
      <c r="M16" s="6" t="str">
        <f aca="false">'Zoning Research'!AI16</f>
        <v>AI Estimate</v>
      </c>
      <c r="N16" s="2" t="n">
        <v>75</v>
      </c>
      <c r="O16" s="2" t="n">
        <v>65</v>
      </c>
      <c r="P16" s="2" t="n">
        <f aca="false">IF(J16="","",J16-AVERAGE(N16,O16))</f>
        <v>0</v>
      </c>
    </row>
    <row r="17" customFormat="false" ht="15" hidden="false" customHeight="false" outlineLevel="0" collapsed="false">
      <c r="A17" s="2" t="s">
        <v>43</v>
      </c>
      <c r="B17" s="2" t="s">
        <v>12</v>
      </c>
      <c r="C17" s="3" t="n">
        <v>73000</v>
      </c>
      <c r="D17" s="2" t="s">
        <v>403</v>
      </c>
      <c r="E17" s="6" t="n">
        <f aca="false">'Zoning Research'!G17</f>
        <v>20</v>
      </c>
      <c r="F17" s="6" t="n">
        <f aca="false">'Zoning Research'!Q17</f>
        <v>20</v>
      </c>
      <c r="G17" s="6" t="n">
        <f aca="false">'Zoning Research'!V17</f>
        <v>20</v>
      </c>
      <c r="H17" s="6" t="n">
        <f aca="false">'Zoning Research'!Z17</f>
        <v>20</v>
      </c>
      <c r="I17" s="6" t="n">
        <f aca="false">'Zoning Research'!AE17</f>
        <v>20</v>
      </c>
      <c r="J17" s="12" t="n">
        <f aca="false">'Zoning Research'!AF17</f>
        <v>100</v>
      </c>
      <c r="K17" s="6" t="n">
        <f aca="false">'Zoning Research'!AG17</f>
        <v>0</v>
      </c>
      <c r="L17" s="6" t="n">
        <f aca="false">'Zoning Research'!AH17</f>
        <v>0</v>
      </c>
      <c r="M17" s="6" t="str">
        <f aca="false">'Zoning Research'!AI17</f>
        <v>AI Estimate</v>
      </c>
      <c r="N17" s="2" t="n">
        <v>100</v>
      </c>
      <c r="O17" s="2" t="n">
        <v>100</v>
      </c>
      <c r="P17" s="2" t="n">
        <f aca="false">IF(J17="","",J17-AVERAGE(N17,O17))</f>
        <v>0</v>
      </c>
    </row>
    <row r="18" customFormat="false" ht="15" hidden="false" customHeight="false" outlineLevel="0" collapsed="false">
      <c r="A18" s="2" t="s">
        <v>45</v>
      </c>
      <c r="B18" s="2" t="s">
        <v>12</v>
      </c>
      <c r="C18" s="3" t="n">
        <v>70000</v>
      </c>
      <c r="D18" s="2" t="s">
        <v>403</v>
      </c>
      <c r="E18" s="6" t="n">
        <f aca="false">'Zoning Research'!G18</f>
        <v>0</v>
      </c>
      <c r="F18" s="6" t="n">
        <f aca="false">'Zoning Research'!Q18</f>
        <v>0</v>
      </c>
      <c r="G18" s="6" t="n">
        <f aca="false">'Zoning Research'!V18</f>
        <v>0</v>
      </c>
      <c r="H18" s="6" t="n">
        <f aca="false">'Zoning Research'!Z18</f>
        <v>0</v>
      </c>
      <c r="I18" s="6" t="n">
        <f aca="false">'Zoning Research'!AE18</f>
        <v>0</v>
      </c>
      <c r="J18" s="12" t="n">
        <f aca="false">'Zoning Research'!AF18</f>
        <v>0</v>
      </c>
      <c r="K18" s="6" t="n">
        <f aca="false">'Zoning Research'!AG18</f>
        <v>0</v>
      </c>
      <c r="L18" s="6" t="n">
        <f aca="false">'Zoning Research'!AH18</f>
        <v>0</v>
      </c>
      <c r="M18" s="6" t="n">
        <f aca="false">'Zoning Research'!AI18</f>
        <v>0</v>
      </c>
      <c r="N18" s="6"/>
      <c r="O18" s="6"/>
      <c r="P18" s="6"/>
    </row>
    <row r="19" customFormat="false" ht="15" hidden="false" customHeight="false" outlineLevel="0" collapsed="false">
      <c r="A19" s="2" t="s">
        <v>47</v>
      </c>
      <c r="B19" s="2" t="s">
        <v>12</v>
      </c>
      <c r="C19" s="3" t="n">
        <v>68000</v>
      </c>
      <c r="D19" s="2" t="s">
        <v>403</v>
      </c>
      <c r="E19" s="6" t="n">
        <f aca="false">'Zoning Research'!G19</f>
        <v>18</v>
      </c>
      <c r="F19" s="6" t="n">
        <f aca="false">'Zoning Research'!Q19</f>
        <v>18</v>
      </c>
      <c r="G19" s="6" t="n">
        <f aca="false">'Zoning Research'!V19</f>
        <v>18</v>
      </c>
      <c r="H19" s="6" t="n">
        <f aca="false">'Zoning Research'!Z19</f>
        <v>18</v>
      </c>
      <c r="I19" s="6" t="n">
        <f aca="false">'Zoning Research'!AE19</f>
        <v>18</v>
      </c>
      <c r="J19" s="12" t="n">
        <f aca="false">'Zoning Research'!AF19</f>
        <v>90</v>
      </c>
      <c r="K19" s="6" t="n">
        <f aca="false">'Zoning Research'!AG19</f>
        <v>0</v>
      </c>
      <c r="L19" s="6" t="n">
        <f aca="false">'Zoning Research'!AH19</f>
        <v>0</v>
      </c>
      <c r="M19" s="6" t="str">
        <f aca="false">'Zoning Research'!AI19</f>
        <v>AI Estimate</v>
      </c>
      <c r="N19" s="2" t="n">
        <v>75</v>
      </c>
      <c r="O19" s="2" t="n">
        <v>100</v>
      </c>
      <c r="P19" s="2" t="n">
        <f aca="false">IF(J19="","",J19-AVERAGE(N19,O19))</f>
        <v>2.5</v>
      </c>
    </row>
    <row r="20" customFormat="false" ht="15" hidden="false" customHeight="false" outlineLevel="0" collapsed="false">
      <c r="A20" s="2" t="s">
        <v>48</v>
      </c>
      <c r="B20" s="2" t="s">
        <v>12</v>
      </c>
      <c r="C20" s="3" t="n">
        <v>65000</v>
      </c>
      <c r="D20" s="2" t="s">
        <v>403</v>
      </c>
      <c r="E20" s="6" t="n">
        <f aca="false">'Zoning Research'!G20</f>
        <v>18</v>
      </c>
      <c r="F20" s="6" t="n">
        <f aca="false">'Zoning Research'!Q20</f>
        <v>18</v>
      </c>
      <c r="G20" s="6" t="n">
        <f aca="false">'Zoning Research'!V20</f>
        <v>18</v>
      </c>
      <c r="H20" s="6" t="n">
        <f aca="false">'Zoning Research'!Z20</f>
        <v>18</v>
      </c>
      <c r="I20" s="6" t="n">
        <f aca="false">'Zoning Research'!AE20</f>
        <v>18</v>
      </c>
      <c r="J20" s="12" t="n">
        <f aca="false">'Zoning Research'!AF20</f>
        <v>90</v>
      </c>
      <c r="K20" s="6" t="n">
        <f aca="false">'Zoning Research'!AG20</f>
        <v>0</v>
      </c>
      <c r="L20" s="6" t="n">
        <f aca="false">'Zoning Research'!AH20</f>
        <v>0</v>
      </c>
      <c r="M20" s="6" t="str">
        <f aca="false">'Zoning Research'!AI20</f>
        <v>AI Estimate</v>
      </c>
      <c r="N20" s="2" t="n">
        <v>75</v>
      </c>
      <c r="O20" s="2" t="n">
        <v>100</v>
      </c>
      <c r="P20" s="2" t="n">
        <f aca="false">IF(J20="","",J20-AVERAGE(N20,O20))</f>
        <v>2.5</v>
      </c>
    </row>
    <row r="21" customFormat="false" ht="15" hidden="false" customHeight="false" outlineLevel="0" collapsed="false">
      <c r="A21" s="2" t="s">
        <v>49</v>
      </c>
      <c r="B21" s="2" t="s">
        <v>12</v>
      </c>
      <c r="C21" s="3" t="n">
        <v>58000</v>
      </c>
      <c r="D21" s="2" t="s">
        <v>403</v>
      </c>
      <c r="E21" s="6" t="n">
        <f aca="false">'Zoning Research'!G21</f>
        <v>18</v>
      </c>
      <c r="F21" s="6" t="n">
        <f aca="false">'Zoning Research'!Q21</f>
        <v>18</v>
      </c>
      <c r="G21" s="6" t="n">
        <f aca="false">'Zoning Research'!V21</f>
        <v>18</v>
      </c>
      <c r="H21" s="6" t="n">
        <f aca="false">'Zoning Research'!Z21</f>
        <v>18</v>
      </c>
      <c r="I21" s="6" t="n">
        <f aca="false">'Zoning Research'!AE21</f>
        <v>18</v>
      </c>
      <c r="J21" s="12" t="n">
        <f aca="false">'Zoning Research'!AF21</f>
        <v>90</v>
      </c>
      <c r="K21" s="6" t="n">
        <f aca="false">'Zoning Research'!AG21</f>
        <v>0</v>
      </c>
      <c r="L21" s="6" t="n">
        <f aca="false">'Zoning Research'!AH21</f>
        <v>0</v>
      </c>
      <c r="M21" s="6" t="str">
        <f aca="false">'Zoning Research'!AI21</f>
        <v>AI Estimate</v>
      </c>
      <c r="N21" s="2" t="n">
        <v>75</v>
      </c>
      <c r="O21" s="2" t="n">
        <v>100</v>
      </c>
      <c r="P21" s="2" t="n">
        <f aca="false">IF(J21="","",J21-AVERAGE(N21,O21))</f>
        <v>2.5</v>
      </c>
    </row>
    <row r="22" customFormat="false" ht="15" hidden="false" customHeight="false" outlineLevel="0" collapsed="false">
      <c r="A22" s="2" t="s">
        <v>50</v>
      </c>
      <c r="B22" s="2" t="s">
        <v>12</v>
      </c>
      <c r="C22" s="3" t="n">
        <v>58000</v>
      </c>
      <c r="D22" s="2" t="s">
        <v>403</v>
      </c>
      <c r="E22" s="6" t="n">
        <f aca="false">'Zoning Research'!G22</f>
        <v>20</v>
      </c>
      <c r="F22" s="6" t="n">
        <f aca="false">'Zoning Research'!Q22</f>
        <v>20</v>
      </c>
      <c r="G22" s="6" t="n">
        <f aca="false">'Zoning Research'!V22</f>
        <v>20</v>
      </c>
      <c r="H22" s="6" t="n">
        <f aca="false">'Zoning Research'!Z22</f>
        <v>20</v>
      </c>
      <c r="I22" s="6" t="n">
        <f aca="false">'Zoning Research'!AE22</f>
        <v>20</v>
      </c>
      <c r="J22" s="12" t="n">
        <f aca="false">'Zoning Research'!AF22</f>
        <v>100</v>
      </c>
      <c r="K22" s="6" t="n">
        <f aca="false">'Zoning Research'!AG22</f>
        <v>0</v>
      </c>
      <c r="L22" s="6" t="n">
        <f aca="false">'Zoning Research'!AH22</f>
        <v>0</v>
      </c>
      <c r="M22" s="6" t="str">
        <f aca="false">'Zoning Research'!AI22</f>
        <v>AI Estimate</v>
      </c>
      <c r="N22" s="2" t="n">
        <v>100</v>
      </c>
      <c r="O22" s="2" t="n">
        <v>100</v>
      </c>
      <c r="P22" s="2" t="n">
        <f aca="false">IF(J22="","",J22-AVERAGE(N22,O22))</f>
        <v>0</v>
      </c>
    </row>
    <row r="23" customFormat="false" ht="15" hidden="false" customHeight="false" outlineLevel="0" collapsed="false">
      <c r="A23" s="2" t="s">
        <v>51</v>
      </c>
      <c r="B23" s="2" t="s">
        <v>12</v>
      </c>
      <c r="C23" s="3" t="n">
        <v>57000</v>
      </c>
      <c r="D23" s="2" t="s">
        <v>403</v>
      </c>
      <c r="E23" s="6" t="n">
        <f aca="false">'Zoning Research'!G23</f>
        <v>20</v>
      </c>
      <c r="F23" s="6" t="n">
        <f aca="false">'Zoning Research'!Q23</f>
        <v>20</v>
      </c>
      <c r="G23" s="6" t="n">
        <f aca="false">'Zoning Research'!V23</f>
        <v>20</v>
      </c>
      <c r="H23" s="6" t="n">
        <f aca="false">'Zoning Research'!Z23</f>
        <v>20</v>
      </c>
      <c r="I23" s="6" t="n">
        <f aca="false">'Zoning Research'!AE23</f>
        <v>20</v>
      </c>
      <c r="J23" s="12" t="n">
        <f aca="false">'Zoning Research'!AF23</f>
        <v>100</v>
      </c>
      <c r="K23" s="6" t="n">
        <f aca="false">'Zoning Research'!AG23</f>
        <v>0</v>
      </c>
      <c r="L23" s="6" t="n">
        <f aca="false">'Zoning Research'!AH23</f>
        <v>0</v>
      </c>
      <c r="M23" s="6" t="str">
        <f aca="false">'Zoning Research'!AI23</f>
        <v>AI Estimate</v>
      </c>
      <c r="N23" s="2" t="n">
        <v>100</v>
      </c>
      <c r="O23" s="2" t="n">
        <v>100</v>
      </c>
      <c r="P23" s="2" t="n">
        <f aca="false">IF(J23="","",J23-AVERAGE(N23,O23))</f>
        <v>0</v>
      </c>
    </row>
    <row r="24" customFormat="false" ht="15" hidden="false" customHeight="false" outlineLevel="0" collapsed="false">
      <c r="A24" s="2" t="s">
        <v>52</v>
      </c>
      <c r="B24" s="2" t="s">
        <v>12</v>
      </c>
      <c r="C24" s="3" t="n">
        <v>57000</v>
      </c>
      <c r="D24" s="2" t="s">
        <v>403</v>
      </c>
      <c r="E24" s="6" t="n">
        <f aca="false">'Zoning Research'!G24</f>
        <v>0</v>
      </c>
      <c r="F24" s="6" t="n">
        <f aca="false">'Zoning Research'!Q24</f>
        <v>0</v>
      </c>
      <c r="G24" s="6" t="n">
        <f aca="false">'Zoning Research'!V24</f>
        <v>0</v>
      </c>
      <c r="H24" s="6" t="n">
        <f aca="false">'Zoning Research'!Z24</f>
        <v>0</v>
      </c>
      <c r="I24" s="6" t="n">
        <f aca="false">'Zoning Research'!AE24</f>
        <v>0</v>
      </c>
      <c r="J24" s="12" t="n">
        <f aca="false">'Zoning Research'!AF24</f>
        <v>0</v>
      </c>
      <c r="K24" s="6" t="n">
        <f aca="false">'Zoning Research'!AG24</f>
        <v>0</v>
      </c>
      <c r="L24" s="6" t="n">
        <f aca="false">'Zoning Research'!AH24</f>
        <v>0</v>
      </c>
      <c r="M24" s="6" t="n">
        <f aca="false">'Zoning Research'!AI24</f>
        <v>0</v>
      </c>
      <c r="N24" s="6"/>
      <c r="O24" s="6"/>
      <c r="P24" s="6"/>
    </row>
    <row r="25" customFormat="false" ht="15" hidden="false" customHeight="false" outlineLevel="0" collapsed="false">
      <c r="A25" s="2" t="s">
        <v>53</v>
      </c>
      <c r="B25" s="2" t="s">
        <v>12</v>
      </c>
      <c r="C25" s="3" t="n">
        <v>55000</v>
      </c>
      <c r="D25" s="2" t="s">
        <v>403</v>
      </c>
      <c r="E25" s="6" t="n">
        <f aca="false">'Zoning Research'!G25</f>
        <v>20</v>
      </c>
      <c r="F25" s="6" t="n">
        <f aca="false">'Zoning Research'!Q25</f>
        <v>20</v>
      </c>
      <c r="G25" s="6" t="n">
        <f aca="false">'Zoning Research'!V25</f>
        <v>20</v>
      </c>
      <c r="H25" s="6" t="n">
        <f aca="false">'Zoning Research'!Z25</f>
        <v>20</v>
      </c>
      <c r="I25" s="6" t="n">
        <f aca="false">'Zoning Research'!AE25</f>
        <v>20</v>
      </c>
      <c r="J25" s="12" t="n">
        <f aca="false">'Zoning Research'!AF25</f>
        <v>100</v>
      </c>
      <c r="K25" s="6" t="n">
        <f aca="false">'Zoning Research'!AG25</f>
        <v>0</v>
      </c>
      <c r="L25" s="6" t="n">
        <f aca="false">'Zoning Research'!AH25</f>
        <v>0</v>
      </c>
      <c r="M25" s="6" t="str">
        <f aca="false">'Zoning Research'!AI25</f>
        <v>AI Estimate</v>
      </c>
      <c r="N25" s="2" t="n">
        <v>100</v>
      </c>
      <c r="O25" s="2" t="n">
        <v>100</v>
      </c>
      <c r="P25" s="2" t="n">
        <f aca="false">IF(J25="","",J25-AVERAGE(N25,O25))</f>
        <v>0</v>
      </c>
    </row>
    <row r="26" customFormat="false" ht="15" hidden="false" customHeight="false" outlineLevel="0" collapsed="false">
      <c r="A26" s="2" t="s">
        <v>54</v>
      </c>
      <c r="B26" s="2" t="s">
        <v>12</v>
      </c>
      <c r="C26" s="3" t="n">
        <v>54000</v>
      </c>
      <c r="D26" s="2" t="s">
        <v>403</v>
      </c>
      <c r="E26" s="6" t="n">
        <f aca="false">'Zoning Research'!G26</f>
        <v>18</v>
      </c>
      <c r="F26" s="6" t="n">
        <f aca="false">'Zoning Research'!Q26</f>
        <v>18</v>
      </c>
      <c r="G26" s="6" t="n">
        <f aca="false">'Zoning Research'!V26</f>
        <v>18</v>
      </c>
      <c r="H26" s="6" t="n">
        <f aca="false">'Zoning Research'!Z26</f>
        <v>18</v>
      </c>
      <c r="I26" s="6" t="n">
        <f aca="false">'Zoning Research'!AE26</f>
        <v>18</v>
      </c>
      <c r="J26" s="12" t="n">
        <f aca="false">'Zoning Research'!AF26</f>
        <v>90</v>
      </c>
      <c r="K26" s="6" t="n">
        <f aca="false">'Zoning Research'!AG26</f>
        <v>0</v>
      </c>
      <c r="L26" s="6" t="n">
        <f aca="false">'Zoning Research'!AH26</f>
        <v>0</v>
      </c>
      <c r="M26" s="6" t="str">
        <f aca="false">'Zoning Research'!AI26</f>
        <v>AI Estimate</v>
      </c>
      <c r="N26" s="2" t="n">
        <v>75</v>
      </c>
      <c r="O26" s="2" t="n">
        <v>100</v>
      </c>
      <c r="P26" s="2" t="n">
        <f aca="false">IF(J26="","",J26-AVERAGE(N26,O26))</f>
        <v>2.5</v>
      </c>
    </row>
    <row r="27" customFormat="false" ht="15" hidden="false" customHeight="false" outlineLevel="0" collapsed="false">
      <c r="A27" s="2" t="s">
        <v>55</v>
      </c>
      <c r="B27" s="2" t="s">
        <v>12</v>
      </c>
      <c r="C27" s="3" t="n">
        <v>53000</v>
      </c>
      <c r="D27" s="2" t="s">
        <v>403</v>
      </c>
      <c r="E27" s="6" t="n">
        <f aca="false">'Zoning Research'!G27</f>
        <v>18</v>
      </c>
      <c r="F27" s="6" t="n">
        <f aca="false">'Zoning Research'!Q27</f>
        <v>18</v>
      </c>
      <c r="G27" s="6" t="n">
        <f aca="false">'Zoning Research'!V27</f>
        <v>18</v>
      </c>
      <c r="H27" s="6" t="n">
        <f aca="false">'Zoning Research'!Z27</f>
        <v>18</v>
      </c>
      <c r="I27" s="6" t="n">
        <f aca="false">'Zoning Research'!AE27</f>
        <v>18</v>
      </c>
      <c r="J27" s="12" t="n">
        <f aca="false">'Zoning Research'!AF27</f>
        <v>90</v>
      </c>
      <c r="K27" s="6" t="n">
        <f aca="false">'Zoning Research'!AG27</f>
        <v>0</v>
      </c>
      <c r="L27" s="6" t="n">
        <f aca="false">'Zoning Research'!AH27</f>
        <v>0</v>
      </c>
      <c r="M27" s="6" t="str">
        <f aca="false">'Zoning Research'!AI27</f>
        <v>AI Estimate</v>
      </c>
      <c r="N27" s="2" t="n">
        <v>75</v>
      </c>
      <c r="O27" s="2" t="n">
        <v>100</v>
      </c>
      <c r="P27" s="2" t="n">
        <f aca="false">IF(J27="","",J27-AVERAGE(N27,O27))</f>
        <v>2.5</v>
      </c>
    </row>
    <row r="28" customFormat="false" ht="15" hidden="false" customHeight="false" outlineLevel="0" collapsed="false">
      <c r="A28" s="2" t="s">
        <v>57</v>
      </c>
      <c r="B28" s="2" t="s">
        <v>12</v>
      </c>
      <c r="C28" s="3" t="n">
        <v>52000</v>
      </c>
      <c r="D28" s="2" t="s">
        <v>403</v>
      </c>
      <c r="E28" s="6" t="n">
        <f aca="false">'Zoning Research'!G28</f>
        <v>18</v>
      </c>
      <c r="F28" s="6" t="n">
        <f aca="false">'Zoning Research'!Q28</f>
        <v>18</v>
      </c>
      <c r="G28" s="6" t="n">
        <f aca="false">'Zoning Research'!V28</f>
        <v>18</v>
      </c>
      <c r="H28" s="6" t="n">
        <f aca="false">'Zoning Research'!Z28</f>
        <v>18</v>
      </c>
      <c r="I28" s="6" t="n">
        <f aca="false">'Zoning Research'!AE28</f>
        <v>18</v>
      </c>
      <c r="J28" s="12" t="n">
        <f aca="false">'Zoning Research'!AF28</f>
        <v>90</v>
      </c>
      <c r="K28" s="6" t="n">
        <f aca="false">'Zoning Research'!AG28</f>
        <v>0</v>
      </c>
      <c r="L28" s="6" t="n">
        <f aca="false">'Zoning Research'!AH28</f>
        <v>0</v>
      </c>
      <c r="M28" s="6" t="str">
        <f aca="false">'Zoning Research'!AI28</f>
        <v>AI Estimate</v>
      </c>
      <c r="N28" s="2" t="n">
        <v>75</v>
      </c>
      <c r="O28" s="2" t="n">
        <v>100</v>
      </c>
      <c r="P28" s="2" t="n">
        <f aca="false">IF(J28="","",J28-AVERAGE(N28,O28))</f>
        <v>2.5</v>
      </c>
    </row>
    <row r="29" customFormat="false" ht="15" hidden="false" customHeight="false" outlineLevel="0" collapsed="false">
      <c r="A29" s="2" t="s">
        <v>58</v>
      </c>
      <c r="B29" s="2" t="s">
        <v>12</v>
      </c>
      <c r="C29" s="3" t="n">
        <v>52000</v>
      </c>
      <c r="D29" s="2" t="s">
        <v>403</v>
      </c>
      <c r="E29" s="6" t="n">
        <f aca="false">'Zoning Research'!G29</f>
        <v>16</v>
      </c>
      <c r="F29" s="6" t="n">
        <f aca="false">'Zoning Research'!Q29</f>
        <v>16</v>
      </c>
      <c r="G29" s="6" t="n">
        <f aca="false">'Zoning Research'!V29</f>
        <v>16</v>
      </c>
      <c r="H29" s="6" t="n">
        <f aca="false">'Zoning Research'!Z29</f>
        <v>16</v>
      </c>
      <c r="I29" s="6" t="n">
        <f aca="false">'Zoning Research'!AE29</f>
        <v>16</v>
      </c>
      <c r="J29" s="12" t="n">
        <f aca="false">'Zoning Research'!AF29</f>
        <v>80</v>
      </c>
      <c r="K29" s="6" t="n">
        <f aca="false">'Zoning Research'!AG29</f>
        <v>0</v>
      </c>
      <c r="L29" s="6" t="n">
        <f aca="false">'Zoning Research'!AH29</f>
        <v>0</v>
      </c>
      <c r="M29" s="6" t="str">
        <f aca="false">'Zoning Research'!AI29</f>
        <v>AI Estimate</v>
      </c>
      <c r="N29" s="2" t="n">
        <v>65</v>
      </c>
      <c r="O29" s="2" t="n">
        <v>100</v>
      </c>
      <c r="P29" s="2" t="n">
        <f aca="false">IF(J29="","",J29-AVERAGE(N29,O29))</f>
        <v>-2.5</v>
      </c>
    </row>
    <row r="30" customFormat="false" ht="15" hidden="false" customHeight="false" outlineLevel="0" collapsed="false">
      <c r="A30" s="2" t="s">
        <v>59</v>
      </c>
      <c r="B30" s="2" t="s">
        <v>12</v>
      </c>
      <c r="C30" s="3" t="n">
        <v>52000</v>
      </c>
      <c r="D30" s="2" t="s">
        <v>403</v>
      </c>
      <c r="E30" s="6" t="n">
        <f aca="false">'Zoning Research'!G30</f>
        <v>0</v>
      </c>
      <c r="F30" s="6" t="n">
        <f aca="false">'Zoning Research'!Q30</f>
        <v>0</v>
      </c>
      <c r="G30" s="6" t="n">
        <f aca="false">'Zoning Research'!V30</f>
        <v>0</v>
      </c>
      <c r="H30" s="6" t="n">
        <f aca="false">'Zoning Research'!Z30</f>
        <v>0</v>
      </c>
      <c r="I30" s="6" t="n">
        <f aca="false">'Zoning Research'!AE30</f>
        <v>0</v>
      </c>
      <c r="J30" s="12" t="n">
        <f aca="false">'Zoning Research'!AF30</f>
        <v>0</v>
      </c>
      <c r="K30" s="6" t="n">
        <f aca="false">'Zoning Research'!AG30</f>
        <v>0</v>
      </c>
      <c r="L30" s="6" t="n">
        <f aca="false">'Zoning Research'!AH30</f>
        <v>0</v>
      </c>
      <c r="M30" s="6" t="n">
        <f aca="false">'Zoning Research'!AI30</f>
        <v>0</v>
      </c>
      <c r="N30" s="6"/>
      <c r="O30" s="6"/>
      <c r="P30" s="6"/>
    </row>
    <row r="31" customFormat="false" ht="15" hidden="false" customHeight="false" outlineLevel="0" collapsed="false">
      <c r="A31" s="2" t="s">
        <v>60</v>
      </c>
      <c r="B31" s="2" t="s">
        <v>12</v>
      </c>
      <c r="C31" s="3" t="n">
        <v>49000</v>
      </c>
      <c r="D31" s="2" t="s">
        <v>403</v>
      </c>
      <c r="E31" s="6" t="n">
        <f aca="false">'Zoning Research'!G31</f>
        <v>16</v>
      </c>
      <c r="F31" s="6" t="n">
        <f aca="false">'Zoning Research'!Q31</f>
        <v>16</v>
      </c>
      <c r="G31" s="6" t="n">
        <f aca="false">'Zoning Research'!V31</f>
        <v>16</v>
      </c>
      <c r="H31" s="6" t="n">
        <f aca="false">'Zoning Research'!Z31</f>
        <v>16</v>
      </c>
      <c r="I31" s="6" t="n">
        <f aca="false">'Zoning Research'!AE31</f>
        <v>16</v>
      </c>
      <c r="J31" s="12" t="n">
        <f aca="false">'Zoning Research'!AF31</f>
        <v>80</v>
      </c>
      <c r="K31" s="6" t="n">
        <f aca="false">'Zoning Research'!AG31</f>
        <v>0</v>
      </c>
      <c r="L31" s="6" t="n">
        <f aca="false">'Zoning Research'!AH31</f>
        <v>0</v>
      </c>
      <c r="M31" s="6" t="str">
        <f aca="false">'Zoning Research'!AI31</f>
        <v>AI Estimate</v>
      </c>
      <c r="N31" s="2" t="n">
        <v>75</v>
      </c>
      <c r="O31" s="2" t="n">
        <v>85</v>
      </c>
      <c r="P31" s="2" t="n">
        <f aca="false">IF(J31="","",J31-AVERAGE(N31,O31))</f>
        <v>0</v>
      </c>
    </row>
    <row r="32" customFormat="false" ht="15" hidden="false" customHeight="false" outlineLevel="0" collapsed="false">
      <c r="A32" s="2" t="s">
        <v>61</v>
      </c>
      <c r="B32" s="2" t="s">
        <v>12</v>
      </c>
      <c r="C32" s="3" t="n">
        <v>47000</v>
      </c>
      <c r="D32" s="2" t="s">
        <v>403</v>
      </c>
      <c r="E32" s="6" t="n">
        <f aca="false">'Zoning Research'!G32</f>
        <v>18</v>
      </c>
      <c r="F32" s="6" t="n">
        <f aca="false">'Zoning Research'!Q32</f>
        <v>18</v>
      </c>
      <c r="G32" s="6" t="n">
        <f aca="false">'Zoning Research'!V32</f>
        <v>18</v>
      </c>
      <c r="H32" s="6" t="n">
        <f aca="false">'Zoning Research'!Z32</f>
        <v>18</v>
      </c>
      <c r="I32" s="6" t="n">
        <f aca="false">'Zoning Research'!AE32</f>
        <v>18</v>
      </c>
      <c r="J32" s="12" t="n">
        <f aca="false">'Zoning Research'!AF32</f>
        <v>90</v>
      </c>
      <c r="K32" s="6" t="n">
        <f aca="false">'Zoning Research'!AG32</f>
        <v>0</v>
      </c>
      <c r="L32" s="6" t="n">
        <f aca="false">'Zoning Research'!AH32</f>
        <v>0</v>
      </c>
      <c r="M32" s="6" t="str">
        <f aca="false">'Zoning Research'!AI32</f>
        <v>AI Estimate</v>
      </c>
      <c r="N32" s="2" t="n">
        <v>75</v>
      </c>
      <c r="O32" s="2" t="n">
        <v>100</v>
      </c>
      <c r="P32" s="2" t="n">
        <f aca="false">IF(J32="","",J32-AVERAGE(N32,O32))</f>
        <v>2.5</v>
      </c>
    </row>
    <row r="33" customFormat="false" ht="15" hidden="false" customHeight="false" outlineLevel="0" collapsed="false">
      <c r="A33" s="2" t="s">
        <v>62</v>
      </c>
      <c r="B33" s="2" t="s">
        <v>12</v>
      </c>
      <c r="C33" s="3" t="n">
        <v>46000</v>
      </c>
      <c r="D33" s="2" t="s">
        <v>403</v>
      </c>
      <c r="E33" s="6" t="n">
        <f aca="false">'Zoning Research'!G33</f>
        <v>18</v>
      </c>
      <c r="F33" s="6" t="n">
        <f aca="false">'Zoning Research'!Q33</f>
        <v>18</v>
      </c>
      <c r="G33" s="6" t="n">
        <f aca="false">'Zoning Research'!V33</f>
        <v>18</v>
      </c>
      <c r="H33" s="6" t="n">
        <f aca="false">'Zoning Research'!Z33</f>
        <v>18</v>
      </c>
      <c r="I33" s="6" t="n">
        <f aca="false">'Zoning Research'!AE33</f>
        <v>18</v>
      </c>
      <c r="J33" s="12" t="n">
        <f aca="false">'Zoning Research'!AF33</f>
        <v>90</v>
      </c>
      <c r="K33" s="6" t="n">
        <f aca="false">'Zoning Research'!AG33</f>
        <v>0</v>
      </c>
      <c r="L33" s="6" t="n">
        <f aca="false">'Zoning Research'!AH33</f>
        <v>0</v>
      </c>
      <c r="M33" s="6" t="str">
        <f aca="false">'Zoning Research'!AI33</f>
        <v>AI Estimate</v>
      </c>
      <c r="N33" s="2" t="n">
        <v>75</v>
      </c>
      <c r="O33" s="2" t="n">
        <v>100</v>
      </c>
      <c r="P33" s="2" t="n">
        <f aca="false">IF(J33="","",J33-AVERAGE(N33,O33))</f>
        <v>2.5</v>
      </c>
    </row>
    <row r="34" customFormat="false" ht="15" hidden="false" customHeight="false" outlineLevel="0" collapsed="false">
      <c r="A34" s="2" t="s">
        <v>63</v>
      </c>
      <c r="B34" s="2" t="s">
        <v>12</v>
      </c>
      <c r="C34" s="3" t="n">
        <v>44000</v>
      </c>
      <c r="D34" s="2" t="s">
        <v>403</v>
      </c>
      <c r="E34" s="6" t="n">
        <f aca="false">'Zoning Research'!G34</f>
        <v>18</v>
      </c>
      <c r="F34" s="6" t="n">
        <f aca="false">'Zoning Research'!Q34</f>
        <v>18</v>
      </c>
      <c r="G34" s="6" t="n">
        <f aca="false">'Zoning Research'!V34</f>
        <v>18</v>
      </c>
      <c r="H34" s="6" t="n">
        <f aca="false">'Zoning Research'!Z34</f>
        <v>18</v>
      </c>
      <c r="I34" s="6" t="n">
        <f aca="false">'Zoning Research'!AE34</f>
        <v>18</v>
      </c>
      <c r="J34" s="12" t="n">
        <f aca="false">'Zoning Research'!AF34</f>
        <v>90</v>
      </c>
      <c r="K34" s="6" t="n">
        <f aca="false">'Zoning Research'!AG34</f>
        <v>0</v>
      </c>
      <c r="L34" s="6" t="n">
        <f aca="false">'Zoning Research'!AH34</f>
        <v>0</v>
      </c>
      <c r="M34" s="6" t="str">
        <f aca="false">'Zoning Research'!AI34</f>
        <v>AI Estimate</v>
      </c>
      <c r="N34" s="2" t="n">
        <v>75</v>
      </c>
      <c r="O34" s="2" t="n">
        <v>100</v>
      </c>
      <c r="P34" s="2" t="n">
        <f aca="false">IF(J34="","",J34-AVERAGE(N34,O34))</f>
        <v>2.5</v>
      </c>
    </row>
    <row r="35" customFormat="false" ht="15" hidden="false" customHeight="false" outlineLevel="0" collapsed="false">
      <c r="A35" s="2" t="s">
        <v>64</v>
      </c>
      <c r="B35" s="2" t="s">
        <v>12</v>
      </c>
      <c r="C35" s="3" t="n">
        <v>44000</v>
      </c>
      <c r="D35" s="2" t="s">
        <v>403</v>
      </c>
      <c r="E35" s="6" t="n">
        <f aca="false">'Zoning Research'!G35</f>
        <v>0</v>
      </c>
      <c r="F35" s="6" t="n">
        <f aca="false">'Zoning Research'!Q35</f>
        <v>0</v>
      </c>
      <c r="G35" s="6" t="n">
        <f aca="false">'Zoning Research'!V35</f>
        <v>0</v>
      </c>
      <c r="H35" s="6" t="n">
        <f aca="false">'Zoning Research'!Z35</f>
        <v>0</v>
      </c>
      <c r="I35" s="6" t="n">
        <f aca="false">'Zoning Research'!AE35</f>
        <v>0</v>
      </c>
      <c r="J35" s="12" t="n">
        <f aca="false">'Zoning Research'!AF35</f>
        <v>0</v>
      </c>
      <c r="K35" s="6" t="n">
        <f aca="false">'Zoning Research'!AG35</f>
        <v>0</v>
      </c>
      <c r="L35" s="6" t="n">
        <f aca="false">'Zoning Research'!AH35</f>
        <v>0</v>
      </c>
      <c r="M35" s="6" t="n">
        <f aca="false">'Zoning Research'!AI35</f>
        <v>0</v>
      </c>
      <c r="N35" s="6"/>
      <c r="O35" s="6"/>
      <c r="P35" s="6"/>
    </row>
    <row r="36" customFormat="false" ht="15" hidden="false" customHeight="false" outlineLevel="0" collapsed="false">
      <c r="A36" s="2" t="s">
        <v>65</v>
      </c>
      <c r="B36" s="2" t="s">
        <v>12</v>
      </c>
      <c r="C36" s="3" t="n">
        <v>42000</v>
      </c>
      <c r="D36" s="2" t="s">
        <v>403</v>
      </c>
      <c r="E36" s="6" t="n">
        <f aca="false">'Zoning Research'!G36</f>
        <v>0</v>
      </c>
      <c r="F36" s="6" t="n">
        <f aca="false">'Zoning Research'!Q36</f>
        <v>0</v>
      </c>
      <c r="G36" s="6" t="n">
        <f aca="false">'Zoning Research'!V36</f>
        <v>0</v>
      </c>
      <c r="H36" s="6" t="n">
        <f aca="false">'Zoning Research'!Z36</f>
        <v>0</v>
      </c>
      <c r="I36" s="6" t="n">
        <f aca="false">'Zoning Research'!AE36</f>
        <v>0</v>
      </c>
      <c r="J36" s="12" t="n">
        <f aca="false">'Zoning Research'!AF36</f>
        <v>0</v>
      </c>
      <c r="K36" s="6" t="n">
        <f aca="false">'Zoning Research'!AG36</f>
        <v>0</v>
      </c>
      <c r="L36" s="6" t="n">
        <f aca="false">'Zoning Research'!AH36</f>
        <v>0</v>
      </c>
      <c r="M36" s="6" t="n">
        <f aca="false">'Zoning Research'!AI36</f>
        <v>0</v>
      </c>
      <c r="N36" s="6"/>
      <c r="O36" s="6"/>
      <c r="P36" s="6"/>
    </row>
    <row r="37" customFormat="false" ht="15" hidden="false" customHeight="false" outlineLevel="0" collapsed="false">
      <c r="A37" s="2" t="s">
        <v>67</v>
      </c>
      <c r="B37" s="2" t="s">
        <v>12</v>
      </c>
      <c r="C37" s="3" t="n">
        <v>42000</v>
      </c>
      <c r="D37" s="2" t="s">
        <v>403</v>
      </c>
      <c r="E37" s="6" t="n">
        <f aca="false">'Zoning Research'!G37</f>
        <v>0</v>
      </c>
      <c r="F37" s="6" t="n">
        <f aca="false">'Zoning Research'!Q37</f>
        <v>0</v>
      </c>
      <c r="G37" s="6" t="n">
        <f aca="false">'Zoning Research'!V37</f>
        <v>0</v>
      </c>
      <c r="H37" s="6" t="n">
        <f aca="false">'Zoning Research'!Z37</f>
        <v>0</v>
      </c>
      <c r="I37" s="6" t="n">
        <f aca="false">'Zoning Research'!AE37</f>
        <v>0</v>
      </c>
      <c r="J37" s="12" t="n">
        <f aca="false">'Zoning Research'!AF37</f>
        <v>0</v>
      </c>
      <c r="K37" s="6" t="n">
        <f aca="false">'Zoning Research'!AG37</f>
        <v>0</v>
      </c>
      <c r="L37" s="6" t="n">
        <f aca="false">'Zoning Research'!AH37</f>
        <v>0</v>
      </c>
      <c r="M37" s="6" t="n">
        <f aca="false">'Zoning Research'!AI37</f>
        <v>0</v>
      </c>
      <c r="N37" s="6"/>
      <c r="O37" s="6"/>
      <c r="P37" s="6"/>
    </row>
    <row r="38" customFormat="false" ht="15" hidden="false" customHeight="false" outlineLevel="0" collapsed="false">
      <c r="A38" s="2" t="s">
        <v>69</v>
      </c>
      <c r="B38" s="2" t="s">
        <v>12</v>
      </c>
      <c r="C38" s="3" t="n">
        <v>41000</v>
      </c>
      <c r="D38" s="2" t="s">
        <v>403</v>
      </c>
      <c r="E38" s="6" t="n">
        <f aca="false">'Zoning Research'!G38</f>
        <v>20</v>
      </c>
      <c r="F38" s="6" t="n">
        <f aca="false">'Zoning Research'!Q38</f>
        <v>20</v>
      </c>
      <c r="G38" s="6" t="n">
        <f aca="false">'Zoning Research'!V38</f>
        <v>20</v>
      </c>
      <c r="H38" s="6" t="n">
        <f aca="false">'Zoning Research'!Z38</f>
        <v>20</v>
      </c>
      <c r="I38" s="6" t="n">
        <f aca="false">'Zoning Research'!AE38</f>
        <v>20</v>
      </c>
      <c r="J38" s="12" t="n">
        <f aca="false">'Zoning Research'!AF38</f>
        <v>100</v>
      </c>
      <c r="K38" s="6" t="n">
        <f aca="false">'Zoning Research'!AG38</f>
        <v>0</v>
      </c>
      <c r="L38" s="6" t="n">
        <f aca="false">'Zoning Research'!AH38</f>
        <v>0</v>
      </c>
      <c r="M38" s="6" t="str">
        <f aca="false">'Zoning Research'!AI38</f>
        <v>AI Estimate</v>
      </c>
      <c r="N38" s="2" t="n">
        <v>100</v>
      </c>
      <c r="O38" s="2" t="n">
        <v>100</v>
      </c>
      <c r="P38" s="2" t="n">
        <f aca="false">IF(J38="","",J38-AVERAGE(N38,O38))</f>
        <v>0</v>
      </c>
    </row>
    <row r="39" customFormat="false" ht="15" hidden="false" customHeight="false" outlineLevel="0" collapsed="false">
      <c r="A39" s="2" t="s">
        <v>70</v>
      </c>
      <c r="B39" s="2" t="s">
        <v>12</v>
      </c>
      <c r="C39" s="3" t="n">
        <v>41000</v>
      </c>
      <c r="D39" s="2" t="s">
        <v>403</v>
      </c>
      <c r="E39" s="6" t="n">
        <f aca="false">'Zoning Research'!G39</f>
        <v>0</v>
      </c>
      <c r="F39" s="6" t="n">
        <f aca="false">'Zoning Research'!Q39</f>
        <v>0</v>
      </c>
      <c r="G39" s="6" t="n">
        <f aca="false">'Zoning Research'!V39</f>
        <v>0</v>
      </c>
      <c r="H39" s="6" t="n">
        <f aca="false">'Zoning Research'!Z39</f>
        <v>0</v>
      </c>
      <c r="I39" s="6" t="n">
        <f aca="false">'Zoning Research'!AE39</f>
        <v>0</v>
      </c>
      <c r="J39" s="12" t="n">
        <f aca="false">'Zoning Research'!AF39</f>
        <v>0</v>
      </c>
      <c r="K39" s="6" t="n">
        <f aca="false">'Zoning Research'!AG39</f>
        <v>0</v>
      </c>
      <c r="L39" s="6" t="n">
        <f aca="false">'Zoning Research'!AH39</f>
        <v>0</v>
      </c>
      <c r="M39" s="6" t="n">
        <f aca="false">'Zoning Research'!AI39</f>
        <v>0</v>
      </c>
      <c r="N39" s="6"/>
      <c r="O39" s="6"/>
      <c r="P39" s="6"/>
    </row>
    <row r="40" customFormat="false" ht="15" hidden="false" customHeight="false" outlineLevel="0" collapsed="false">
      <c r="A40" s="2" t="s">
        <v>71</v>
      </c>
      <c r="B40" s="2" t="s">
        <v>12</v>
      </c>
      <c r="C40" s="3" t="n">
        <v>41000</v>
      </c>
      <c r="D40" s="2" t="s">
        <v>403</v>
      </c>
      <c r="E40" s="6" t="n">
        <f aca="false">'Zoning Research'!G40</f>
        <v>0</v>
      </c>
      <c r="F40" s="6" t="n">
        <f aca="false">'Zoning Research'!Q40</f>
        <v>0</v>
      </c>
      <c r="G40" s="6" t="n">
        <f aca="false">'Zoning Research'!V40</f>
        <v>0</v>
      </c>
      <c r="H40" s="6" t="n">
        <f aca="false">'Zoning Research'!Z40</f>
        <v>0</v>
      </c>
      <c r="I40" s="6" t="n">
        <f aca="false">'Zoning Research'!AE40</f>
        <v>0</v>
      </c>
      <c r="J40" s="12" t="n">
        <f aca="false">'Zoning Research'!AF40</f>
        <v>0</v>
      </c>
      <c r="K40" s="6" t="n">
        <f aca="false">'Zoning Research'!AG40</f>
        <v>0</v>
      </c>
      <c r="L40" s="6" t="n">
        <f aca="false">'Zoning Research'!AH40</f>
        <v>0</v>
      </c>
      <c r="M40" s="6" t="n">
        <f aca="false">'Zoning Research'!AI40</f>
        <v>0</v>
      </c>
      <c r="N40" s="6"/>
      <c r="O40" s="6"/>
      <c r="P40" s="6"/>
    </row>
    <row r="41" customFormat="false" ht="15" hidden="false" customHeight="false" outlineLevel="0" collapsed="false">
      <c r="A41" s="2" t="s">
        <v>73</v>
      </c>
      <c r="B41" s="2" t="s">
        <v>12</v>
      </c>
      <c r="C41" s="3" t="n">
        <v>40000</v>
      </c>
      <c r="D41" s="2" t="s">
        <v>403</v>
      </c>
      <c r="E41" s="6" t="n">
        <f aca="false">'Zoning Research'!G41</f>
        <v>20</v>
      </c>
      <c r="F41" s="6" t="n">
        <f aca="false">'Zoning Research'!Q41</f>
        <v>20</v>
      </c>
      <c r="G41" s="6" t="n">
        <f aca="false">'Zoning Research'!V41</f>
        <v>20</v>
      </c>
      <c r="H41" s="6" t="n">
        <f aca="false">'Zoning Research'!Z41</f>
        <v>20</v>
      </c>
      <c r="I41" s="6" t="n">
        <f aca="false">'Zoning Research'!AE41</f>
        <v>20</v>
      </c>
      <c r="J41" s="12" t="n">
        <f aca="false">'Zoning Research'!AF41</f>
        <v>100</v>
      </c>
      <c r="K41" s="6" t="n">
        <f aca="false">'Zoning Research'!AG41</f>
        <v>0</v>
      </c>
      <c r="L41" s="6" t="n">
        <f aca="false">'Zoning Research'!AH41</f>
        <v>0</v>
      </c>
      <c r="M41" s="6" t="str">
        <f aca="false">'Zoning Research'!AI41</f>
        <v>AI Estimate</v>
      </c>
      <c r="N41" s="2" t="n">
        <v>100</v>
      </c>
      <c r="O41" s="2" t="n">
        <v>100</v>
      </c>
      <c r="P41" s="2" t="n">
        <f aca="false">IF(J41="","",J41-AVERAGE(N41,O41))</f>
        <v>0</v>
      </c>
    </row>
    <row r="42" customFormat="false" ht="15" hidden="false" customHeight="false" outlineLevel="0" collapsed="false">
      <c r="A42" s="2" t="s">
        <v>74</v>
      </c>
      <c r="B42" s="2" t="s">
        <v>12</v>
      </c>
      <c r="C42" s="3" t="n">
        <v>40000</v>
      </c>
      <c r="D42" s="2" t="s">
        <v>403</v>
      </c>
      <c r="E42" s="6" t="n">
        <f aca="false">'Zoning Research'!G42</f>
        <v>0</v>
      </c>
      <c r="F42" s="6" t="n">
        <f aca="false">'Zoning Research'!Q42</f>
        <v>0</v>
      </c>
      <c r="G42" s="6" t="n">
        <f aca="false">'Zoning Research'!V42</f>
        <v>0</v>
      </c>
      <c r="H42" s="6" t="n">
        <f aca="false">'Zoning Research'!Z42</f>
        <v>0</v>
      </c>
      <c r="I42" s="6" t="n">
        <f aca="false">'Zoning Research'!AE42</f>
        <v>0</v>
      </c>
      <c r="J42" s="12" t="n">
        <f aca="false">'Zoning Research'!AF42</f>
        <v>0</v>
      </c>
      <c r="K42" s="6" t="n">
        <f aca="false">'Zoning Research'!AG42</f>
        <v>0</v>
      </c>
      <c r="L42" s="6" t="n">
        <f aca="false">'Zoning Research'!AH42</f>
        <v>0</v>
      </c>
      <c r="M42" s="6" t="n">
        <f aca="false">'Zoning Research'!AI42</f>
        <v>0</v>
      </c>
      <c r="N42" s="6"/>
      <c r="O42" s="6"/>
      <c r="P42" s="6"/>
    </row>
    <row r="43" customFormat="false" ht="15" hidden="false" customHeight="false" outlineLevel="0" collapsed="false">
      <c r="A43" s="2" t="s">
        <v>75</v>
      </c>
      <c r="B43" s="2" t="s">
        <v>12</v>
      </c>
      <c r="C43" s="3" t="n">
        <v>40000</v>
      </c>
      <c r="D43" s="2" t="s">
        <v>403</v>
      </c>
      <c r="E43" s="6" t="n">
        <f aca="false">'Zoning Research'!G43</f>
        <v>0</v>
      </c>
      <c r="F43" s="6" t="n">
        <f aca="false">'Zoning Research'!Q43</f>
        <v>0</v>
      </c>
      <c r="G43" s="6" t="n">
        <f aca="false">'Zoning Research'!V43</f>
        <v>0</v>
      </c>
      <c r="H43" s="6" t="n">
        <f aca="false">'Zoning Research'!Z43</f>
        <v>0</v>
      </c>
      <c r="I43" s="6" t="n">
        <f aca="false">'Zoning Research'!AE43</f>
        <v>0</v>
      </c>
      <c r="J43" s="12" t="n">
        <f aca="false">'Zoning Research'!AF43</f>
        <v>0</v>
      </c>
      <c r="K43" s="6" t="n">
        <f aca="false">'Zoning Research'!AG43</f>
        <v>0</v>
      </c>
      <c r="L43" s="6" t="n">
        <f aca="false">'Zoning Research'!AH43</f>
        <v>0</v>
      </c>
      <c r="M43" s="6" t="n">
        <f aca="false">'Zoning Research'!AI43</f>
        <v>0</v>
      </c>
      <c r="N43" s="6"/>
      <c r="O43" s="6"/>
      <c r="P43" s="6"/>
    </row>
    <row r="44" customFormat="false" ht="15" hidden="false" customHeight="false" outlineLevel="0" collapsed="false">
      <c r="A44" s="2" t="s">
        <v>77</v>
      </c>
      <c r="B44" s="2" t="s">
        <v>12</v>
      </c>
      <c r="C44" s="3" t="n">
        <v>39000</v>
      </c>
      <c r="D44" s="2" t="s">
        <v>403</v>
      </c>
      <c r="E44" s="6" t="n">
        <f aca="false">'Zoning Research'!G44</f>
        <v>20</v>
      </c>
      <c r="F44" s="6" t="n">
        <f aca="false">'Zoning Research'!Q44</f>
        <v>20</v>
      </c>
      <c r="G44" s="6" t="n">
        <f aca="false">'Zoning Research'!V44</f>
        <v>20</v>
      </c>
      <c r="H44" s="6" t="n">
        <f aca="false">'Zoning Research'!Z44</f>
        <v>20</v>
      </c>
      <c r="I44" s="6" t="n">
        <f aca="false">'Zoning Research'!AE44</f>
        <v>20</v>
      </c>
      <c r="J44" s="12" t="n">
        <f aca="false">'Zoning Research'!AF44</f>
        <v>100</v>
      </c>
      <c r="K44" s="6" t="n">
        <f aca="false">'Zoning Research'!AG44</f>
        <v>0</v>
      </c>
      <c r="L44" s="6" t="n">
        <f aca="false">'Zoning Research'!AH44</f>
        <v>0</v>
      </c>
      <c r="M44" s="6" t="str">
        <f aca="false">'Zoning Research'!AI44</f>
        <v>AI Estimate</v>
      </c>
      <c r="N44" s="2" t="n">
        <v>100</v>
      </c>
      <c r="O44" s="2" t="n">
        <v>100</v>
      </c>
      <c r="P44" s="2" t="n">
        <f aca="false">IF(J44="","",J44-AVERAGE(N44,O44))</f>
        <v>0</v>
      </c>
    </row>
    <row r="45" customFormat="false" ht="15" hidden="false" customHeight="false" outlineLevel="0" collapsed="false">
      <c r="A45" s="2" t="s">
        <v>78</v>
      </c>
      <c r="B45" s="2" t="s">
        <v>12</v>
      </c>
      <c r="C45" s="3" t="n">
        <v>39000</v>
      </c>
      <c r="D45" s="2" t="s">
        <v>403</v>
      </c>
      <c r="E45" s="6" t="n">
        <f aca="false">'Zoning Research'!G45</f>
        <v>0</v>
      </c>
      <c r="F45" s="6" t="n">
        <f aca="false">'Zoning Research'!Q45</f>
        <v>0</v>
      </c>
      <c r="G45" s="6" t="n">
        <f aca="false">'Zoning Research'!V45</f>
        <v>0</v>
      </c>
      <c r="H45" s="6" t="n">
        <f aca="false">'Zoning Research'!Z45</f>
        <v>0</v>
      </c>
      <c r="I45" s="6" t="n">
        <f aca="false">'Zoning Research'!AE45</f>
        <v>0</v>
      </c>
      <c r="J45" s="12" t="n">
        <f aca="false">'Zoning Research'!AF45</f>
        <v>0</v>
      </c>
      <c r="K45" s="6" t="n">
        <f aca="false">'Zoning Research'!AG45</f>
        <v>0</v>
      </c>
      <c r="L45" s="6" t="n">
        <f aca="false">'Zoning Research'!AH45</f>
        <v>0</v>
      </c>
      <c r="M45" s="6" t="n">
        <f aca="false">'Zoning Research'!AI45</f>
        <v>0</v>
      </c>
      <c r="N45" s="6"/>
      <c r="O45" s="6"/>
      <c r="P45" s="6"/>
    </row>
    <row r="46" customFormat="false" ht="15" hidden="false" customHeight="false" outlineLevel="0" collapsed="false">
      <c r="A46" s="2" t="s">
        <v>80</v>
      </c>
      <c r="B46" s="2" t="s">
        <v>12</v>
      </c>
      <c r="C46" s="3" t="n">
        <v>38000</v>
      </c>
      <c r="D46" s="2" t="s">
        <v>403</v>
      </c>
      <c r="E46" s="6" t="n">
        <f aca="false">'Zoning Research'!G46</f>
        <v>0</v>
      </c>
      <c r="F46" s="6" t="n">
        <f aca="false">'Zoning Research'!Q46</f>
        <v>0</v>
      </c>
      <c r="G46" s="6" t="n">
        <f aca="false">'Zoning Research'!V46</f>
        <v>0</v>
      </c>
      <c r="H46" s="6" t="n">
        <f aca="false">'Zoning Research'!Z46</f>
        <v>0</v>
      </c>
      <c r="I46" s="6" t="n">
        <f aca="false">'Zoning Research'!AE46</f>
        <v>0</v>
      </c>
      <c r="J46" s="12" t="n">
        <f aca="false">'Zoning Research'!AF46</f>
        <v>0</v>
      </c>
      <c r="K46" s="6" t="n">
        <f aca="false">'Zoning Research'!AG46</f>
        <v>0</v>
      </c>
      <c r="L46" s="6" t="n">
        <f aca="false">'Zoning Research'!AH46</f>
        <v>0</v>
      </c>
      <c r="M46" s="6" t="n">
        <f aca="false">'Zoning Research'!AI46</f>
        <v>0</v>
      </c>
      <c r="N46" s="6"/>
      <c r="O46" s="6"/>
      <c r="P46" s="6"/>
    </row>
    <row r="47" customFormat="false" ht="15" hidden="false" customHeight="false" outlineLevel="0" collapsed="false">
      <c r="A47" s="2" t="s">
        <v>81</v>
      </c>
      <c r="B47" s="2" t="s">
        <v>12</v>
      </c>
      <c r="C47" s="3" t="n">
        <v>38000</v>
      </c>
      <c r="D47" s="2" t="s">
        <v>403</v>
      </c>
      <c r="E47" s="6" t="n">
        <f aca="false">'Zoning Research'!G47</f>
        <v>0</v>
      </c>
      <c r="F47" s="6" t="n">
        <f aca="false">'Zoning Research'!Q47</f>
        <v>0</v>
      </c>
      <c r="G47" s="6" t="n">
        <f aca="false">'Zoning Research'!V47</f>
        <v>0</v>
      </c>
      <c r="H47" s="6" t="n">
        <f aca="false">'Zoning Research'!Z47</f>
        <v>0</v>
      </c>
      <c r="I47" s="6" t="n">
        <f aca="false">'Zoning Research'!AE47</f>
        <v>0</v>
      </c>
      <c r="J47" s="12" t="n">
        <f aca="false">'Zoning Research'!AF47</f>
        <v>0</v>
      </c>
      <c r="K47" s="6" t="n">
        <f aca="false">'Zoning Research'!AG47</f>
        <v>0</v>
      </c>
      <c r="L47" s="6" t="n">
        <f aca="false">'Zoning Research'!AH47</f>
        <v>0</v>
      </c>
      <c r="M47" s="6" t="n">
        <f aca="false">'Zoning Research'!AI47</f>
        <v>0</v>
      </c>
      <c r="N47" s="6"/>
      <c r="O47" s="6"/>
      <c r="P47" s="6"/>
    </row>
    <row r="48" customFormat="false" ht="15" hidden="false" customHeight="false" outlineLevel="0" collapsed="false">
      <c r="A48" s="2" t="s">
        <v>82</v>
      </c>
      <c r="B48" s="2" t="s">
        <v>12</v>
      </c>
      <c r="C48" s="3" t="n">
        <v>37000</v>
      </c>
      <c r="D48" s="2" t="s">
        <v>403</v>
      </c>
      <c r="E48" s="6" t="n">
        <f aca="false">'Zoning Research'!G48</f>
        <v>16</v>
      </c>
      <c r="F48" s="6" t="n">
        <f aca="false">'Zoning Research'!Q48</f>
        <v>16</v>
      </c>
      <c r="G48" s="6" t="n">
        <f aca="false">'Zoning Research'!V48</f>
        <v>16</v>
      </c>
      <c r="H48" s="6" t="n">
        <f aca="false">'Zoning Research'!Z48</f>
        <v>16</v>
      </c>
      <c r="I48" s="6" t="n">
        <f aca="false">'Zoning Research'!AE48</f>
        <v>16</v>
      </c>
      <c r="J48" s="12" t="n">
        <f aca="false">'Zoning Research'!AF48</f>
        <v>80</v>
      </c>
      <c r="K48" s="6" t="n">
        <f aca="false">'Zoning Research'!AG48</f>
        <v>0</v>
      </c>
      <c r="L48" s="6" t="n">
        <f aca="false">'Zoning Research'!AH48</f>
        <v>0</v>
      </c>
      <c r="M48" s="6" t="str">
        <f aca="false">'Zoning Research'!AI48</f>
        <v>AI Estimate</v>
      </c>
      <c r="N48" s="2" t="n">
        <v>65</v>
      </c>
      <c r="O48" s="2" t="n">
        <v>100</v>
      </c>
      <c r="P48" s="2" t="n">
        <f aca="false">IF(J48="","",J48-AVERAGE(N48,O48))</f>
        <v>-2.5</v>
      </c>
    </row>
    <row r="49" customFormat="false" ht="15" hidden="false" customHeight="false" outlineLevel="0" collapsed="false">
      <c r="A49" s="2" t="s">
        <v>83</v>
      </c>
      <c r="B49" s="2" t="s">
        <v>12</v>
      </c>
      <c r="C49" s="3" t="n">
        <v>37000</v>
      </c>
      <c r="D49" s="2" t="s">
        <v>403</v>
      </c>
      <c r="E49" s="6" t="n">
        <f aca="false">'Zoning Research'!G49</f>
        <v>0</v>
      </c>
      <c r="F49" s="6" t="n">
        <f aca="false">'Zoning Research'!Q49</f>
        <v>0</v>
      </c>
      <c r="G49" s="6" t="n">
        <f aca="false">'Zoning Research'!V49</f>
        <v>0</v>
      </c>
      <c r="H49" s="6" t="n">
        <f aca="false">'Zoning Research'!Z49</f>
        <v>0</v>
      </c>
      <c r="I49" s="6" t="n">
        <f aca="false">'Zoning Research'!AE49</f>
        <v>0</v>
      </c>
      <c r="J49" s="12" t="n">
        <f aca="false">'Zoning Research'!AF49</f>
        <v>0</v>
      </c>
      <c r="K49" s="6" t="n">
        <f aca="false">'Zoning Research'!AG49</f>
        <v>0</v>
      </c>
      <c r="L49" s="6" t="n">
        <f aca="false">'Zoning Research'!AH49</f>
        <v>0</v>
      </c>
      <c r="M49" s="6" t="n">
        <f aca="false">'Zoning Research'!AI49</f>
        <v>0</v>
      </c>
      <c r="N49" s="6"/>
      <c r="O49" s="6"/>
      <c r="P49" s="6"/>
    </row>
    <row r="50" customFormat="false" ht="15" hidden="false" customHeight="false" outlineLevel="0" collapsed="false">
      <c r="A50" s="2" t="s">
        <v>84</v>
      </c>
      <c r="B50" s="2" t="s">
        <v>12</v>
      </c>
      <c r="C50" s="3" t="n">
        <v>37000</v>
      </c>
      <c r="D50" s="2" t="s">
        <v>403</v>
      </c>
      <c r="E50" s="6" t="n">
        <f aca="false">'Zoning Research'!G50</f>
        <v>0</v>
      </c>
      <c r="F50" s="6" t="n">
        <f aca="false">'Zoning Research'!Q50</f>
        <v>0</v>
      </c>
      <c r="G50" s="6" t="n">
        <f aca="false">'Zoning Research'!V50</f>
        <v>0</v>
      </c>
      <c r="H50" s="6" t="n">
        <f aca="false">'Zoning Research'!Z50</f>
        <v>0</v>
      </c>
      <c r="I50" s="6" t="n">
        <f aca="false">'Zoning Research'!AE50</f>
        <v>0</v>
      </c>
      <c r="J50" s="12" t="n">
        <f aca="false">'Zoning Research'!AF50</f>
        <v>0</v>
      </c>
      <c r="K50" s="6" t="n">
        <f aca="false">'Zoning Research'!AG50</f>
        <v>0</v>
      </c>
      <c r="L50" s="6" t="n">
        <f aca="false">'Zoning Research'!AH50</f>
        <v>0</v>
      </c>
      <c r="M50" s="6" t="n">
        <f aca="false">'Zoning Research'!AI50</f>
        <v>0</v>
      </c>
      <c r="N50" s="6"/>
      <c r="O50" s="6"/>
      <c r="P50" s="6"/>
    </row>
    <row r="51" customFormat="false" ht="15" hidden="false" customHeight="false" outlineLevel="0" collapsed="false">
      <c r="A51" s="2" t="s">
        <v>86</v>
      </c>
      <c r="B51" s="2" t="s">
        <v>12</v>
      </c>
      <c r="C51" s="3" t="n">
        <v>37000</v>
      </c>
      <c r="D51" s="2" t="s">
        <v>403</v>
      </c>
      <c r="E51" s="6" t="n">
        <f aca="false">'Zoning Research'!G51</f>
        <v>0</v>
      </c>
      <c r="F51" s="6" t="n">
        <f aca="false">'Zoning Research'!Q51</f>
        <v>0</v>
      </c>
      <c r="G51" s="6" t="n">
        <f aca="false">'Zoning Research'!V51</f>
        <v>0</v>
      </c>
      <c r="H51" s="6" t="n">
        <f aca="false">'Zoning Research'!Z51</f>
        <v>0</v>
      </c>
      <c r="I51" s="6" t="n">
        <f aca="false">'Zoning Research'!AE51</f>
        <v>0</v>
      </c>
      <c r="J51" s="12" t="n">
        <f aca="false">'Zoning Research'!AF51</f>
        <v>0</v>
      </c>
      <c r="K51" s="6" t="n">
        <f aca="false">'Zoning Research'!AG51</f>
        <v>0</v>
      </c>
      <c r="L51" s="6" t="n">
        <f aca="false">'Zoning Research'!AH51</f>
        <v>0</v>
      </c>
      <c r="M51" s="6" t="n">
        <f aca="false">'Zoning Research'!AI51</f>
        <v>0</v>
      </c>
      <c r="N51" s="6"/>
      <c r="O51" s="6"/>
      <c r="P51" s="6"/>
    </row>
    <row r="52" customFormat="false" ht="15" hidden="false" customHeight="false" outlineLevel="0" collapsed="false">
      <c r="A52" s="2" t="s">
        <v>66</v>
      </c>
      <c r="B52" s="2" t="s">
        <v>12</v>
      </c>
      <c r="C52" s="3" t="n">
        <v>37000</v>
      </c>
      <c r="D52" s="2" t="s">
        <v>403</v>
      </c>
      <c r="E52" s="6" t="n">
        <f aca="false">'Zoning Research'!G52</f>
        <v>0</v>
      </c>
      <c r="F52" s="6" t="n">
        <f aca="false">'Zoning Research'!Q52</f>
        <v>0</v>
      </c>
      <c r="G52" s="6" t="n">
        <f aca="false">'Zoning Research'!V52</f>
        <v>0</v>
      </c>
      <c r="H52" s="6" t="n">
        <f aca="false">'Zoning Research'!Z52</f>
        <v>0</v>
      </c>
      <c r="I52" s="6" t="n">
        <f aca="false">'Zoning Research'!AE52</f>
        <v>0</v>
      </c>
      <c r="J52" s="12" t="n">
        <f aca="false">'Zoning Research'!AF52</f>
        <v>0</v>
      </c>
      <c r="K52" s="6" t="n">
        <f aca="false">'Zoning Research'!AG52</f>
        <v>0</v>
      </c>
      <c r="L52" s="6" t="n">
        <f aca="false">'Zoning Research'!AH52</f>
        <v>0</v>
      </c>
      <c r="M52" s="6" t="n">
        <f aca="false">'Zoning Research'!AI52</f>
        <v>0</v>
      </c>
      <c r="N52" s="6"/>
      <c r="O52" s="6"/>
      <c r="P52" s="6"/>
    </row>
    <row r="53" customFormat="false" ht="15" hidden="false" customHeight="false" outlineLevel="0" collapsed="false">
      <c r="A53" s="2" t="s">
        <v>88</v>
      </c>
      <c r="B53" s="2" t="s">
        <v>12</v>
      </c>
      <c r="C53" s="3" t="n">
        <v>36000</v>
      </c>
      <c r="D53" s="2" t="s">
        <v>403</v>
      </c>
      <c r="E53" s="6" t="n">
        <f aca="false">'Zoning Research'!G53</f>
        <v>20</v>
      </c>
      <c r="F53" s="6" t="n">
        <f aca="false">'Zoning Research'!Q53</f>
        <v>20</v>
      </c>
      <c r="G53" s="6" t="n">
        <f aca="false">'Zoning Research'!V53</f>
        <v>20</v>
      </c>
      <c r="H53" s="6" t="n">
        <f aca="false">'Zoning Research'!Z53</f>
        <v>20</v>
      </c>
      <c r="I53" s="6" t="n">
        <f aca="false">'Zoning Research'!AE53</f>
        <v>20</v>
      </c>
      <c r="J53" s="12" t="n">
        <f aca="false">'Zoning Research'!AF53</f>
        <v>100</v>
      </c>
      <c r="K53" s="6" t="n">
        <f aca="false">'Zoning Research'!AG53</f>
        <v>0</v>
      </c>
      <c r="L53" s="6" t="n">
        <f aca="false">'Zoning Research'!AH53</f>
        <v>0</v>
      </c>
      <c r="M53" s="6" t="str">
        <f aca="false">'Zoning Research'!AI53</f>
        <v>AI Estimate</v>
      </c>
      <c r="N53" s="2" t="n">
        <v>100</v>
      </c>
      <c r="O53" s="2" t="n">
        <v>100</v>
      </c>
      <c r="P53" s="2" t="n">
        <f aca="false">IF(J53="","",J53-AVERAGE(N53,O53))</f>
        <v>0</v>
      </c>
    </row>
    <row r="54" customFormat="false" ht="15" hidden="false" customHeight="false" outlineLevel="0" collapsed="false">
      <c r="A54" s="2" t="s">
        <v>89</v>
      </c>
      <c r="B54" s="2" t="s">
        <v>12</v>
      </c>
      <c r="C54" s="3" t="n">
        <v>36000</v>
      </c>
      <c r="D54" s="2" t="s">
        <v>403</v>
      </c>
      <c r="E54" s="6" t="n">
        <f aca="false">'Zoning Research'!G54</f>
        <v>0</v>
      </c>
      <c r="F54" s="6" t="n">
        <f aca="false">'Zoning Research'!Q54</f>
        <v>0</v>
      </c>
      <c r="G54" s="6" t="n">
        <f aca="false">'Zoning Research'!V54</f>
        <v>0</v>
      </c>
      <c r="H54" s="6" t="n">
        <f aca="false">'Zoning Research'!Z54</f>
        <v>0</v>
      </c>
      <c r="I54" s="6" t="n">
        <f aca="false">'Zoning Research'!AE54</f>
        <v>0</v>
      </c>
      <c r="J54" s="12" t="n">
        <f aca="false">'Zoning Research'!AF54</f>
        <v>0</v>
      </c>
      <c r="K54" s="6" t="n">
        <f aca="false">'Zoning Research'!AG54</f>
        <v>0</v>
      </c>
      <c r="L54" s="6" t="n">
        <f aca="false">'Zoning Research'!AH54</f>
        <v>0</v>
      </c>
      <c r="M54" s="6" t="n">
        <f aca="false">'Zoning Research'!AI54</f>
        <v>0</v>
      </c>
      <c r="N54" s="6"/>
      <c r="O54" s="6"/>
      <c r="P54" s="6"/>
    </row>
    <row r="55" customFormat="false" ht="15" hidden="false" customHeight="false" outlineLevel="0" collapsed="false">
      <c r="A55" s="2" t="s">
        <v>90</v>
      </c>
      <c r="B55" s="2" t="s">
        <v>12</v>
      </c>
      <c r="C55" s="3" t="n">
        <v>34000</v>
      </c>
      <c r="D55" s="2" t="s">
        <v>403</v>
      </c>
      <c r="E55" s="6" t="n">
        <f aca="false">'Zoning Research'!G55</f>
        <v>20</v>
      </c>
      <c r="F55" s="6" t="n">
        <f aca="false">'Zoning Research'!Q55</f>
        <v>20</v>
      </c>
      <c r="G55" s="6" t="n">
        <f aca="false">'Zoning Research'!V55</f>
        <v>20</v>
      </c>
      <c r="H55" s="6" t="n">
        <f aca="false">'Zoning Research'!Z55</f>
        <v>20</v>
      </c>
      <c r="I55" s="6" t="n">
        <f aca="false">'Zoning Research'!AE55</f>
        <v>20</v>
      </c>
      <c r="J55" s="12" t="n">
        <f aca="false">'Zoning Research'!AF55</f>
        <v>100</v>
      </c>
      <c r="K55" s="6" t="n">
        <f aca="false">'Zoning Research'!AG55</f>
        <v>0</v>
      </c>
      <c r="L55" s="6" t="n">
        <f aca="false">'Zoning Research'!AH55</f>
        <v>0</v>
      </c>
      <c r="M55" s="6" t="str">
        <f aca="false">'Zoning Research'!AI55</f>
        <v>AI Estimate</v>
      </c>
      <c r="N55" s="2" t="n">
        <v>100</v>
      </c>
      <c r="O55" s="2" t="n">
        <v>100</v>
      </c>
      <c r="P55" s="2" t="n">
        <f aca="false">IF(J55="","",J55-AVERAGE(N55,O55))</f>
        <v>0</v>
      </c>
    </row>
    <row r="56" customFormat="false" ht="15" hidden="false" customHeight="false" outlineLevel="0" collapsed="false">
      <c r="A56" s="2" t="s">
        <v>91</v>
      </c>
      <c r="B56" s="2" t="s">
        <v>12</v>
      </c>
      <c r="C56" s="3" t="n">
        <v>33000</v>
      </c>
      <c r="D56" s="2" t="s">
        <v>403</v>
      </c>
      <c r="E56" s="6" t="n">
        <f aca="false">'Zoning Research'!G56</f>
        <v>18</v>
      </c>
      <c r="F56" s="6" t="n">
        <f aca="false">'Zoning Research'!Q56</f>
        <v>18</v>
      </c>
      <c r="G56" s="6" t="n">
        <f aca="false">'Zoning Research'!V56</f>
        <v>18</v>
      </c>
      <c r="H56" s="6" t="n">
        <f aca="false">'Zoning Research'!Z56</f>
        <v>18</v>
      </c>
      <c r="I56" s="6" t="n">
        <f aca="false">'Zoning Research'!AE56</f>
        <v>18</v>
      </c>
      <c r="J56" s="12" t="n">
        <f aca="false">'Zoning Research'!AF56</f>
        <v>90</v>
      </c>
      <c r="K56" s="6" t="n">
        <f aca="false">'Zoning Research'!AG56</f>
        <v>0</v>
      </c>
      <c r="L56" s="6" t="n">
        <f aca="false">'Zoning Research'!AH56</f>
        <v>0</v>
      </c>
      <c r="M56" s="6" t="str">
        <f aca="false">'Zoning Research'!AI56</f>
        <v>AI Estimate</v>
      </c>
      <c r="N56" s="2" t="n">
        <v>75</v>
      </c>
      <c r="O56" s="2" t="n">
        <v>100</v>
      </c>
      <c r="P56" s="2" t="n">
        <f aca="false">IF(J56="","",J56-AVERAGE(N56,O56))</f>
        <v>2.5</v>
      </c>
    </row>
    <row r="57" customFormat="false" ht="15" hidden="false" customHeight="false" outlineLevel="0" collapsed="false">
      <c r="A57" s="2" t="s">
        <v>92</v>
      </c>
      <c r="B57" s="2" t="s">
        <v>12</v>
      </c>
      <c r="C57" s="3" t="n">
        <v>33000</v>
      </c>
      <c r="D57" s="2" t="s">
        <v>403</v>
      </c>
      <c r="E57" s="6" t="n">
        <f aca="false">'Zoning Research'!G57</f>
        <v>0</v>
      </c>
      <c r="F57" s="6" t="n">
        <f aca="false">'Zoning Research'!Q57</f>
        <v>0</v>
      </c>
      <c r="G57" s="6" t="n">
        <f aca="false">'Zoning Research'!V57</f>
        <v>0</v>
      </c>
      <c r="H57" s="6" t="n">
        <f aca="false">'Zoning Research'!Z57</f>
        <v>0</v>
      </c>
      <c r="I57" s="6" t="n">
        <f aca="false">'Zoning Research'!AE57</f>
        <v>0</v>
      </c>
      <c r="J57" s="12" t="n">
        <f aca="false">'Zoning Research'!AF57</f>
        <v>0</v>
      </c>
      <c r="K57" s="6" t="n">
        <f aca="false">'Zoning Research'!AG57</f>
        <v>0</v>
      </c>
      <c r="L57" s="6" t="n">
        <f aca="false">'Zoning Research'!AH57</f>
        <v>0</v>
      </c>
      <c r="M57" s="6" t="n">
        <f aca="false">'Zoning Research'!AI57</f>
        <v>0</v>
      </c>
      <c r="N57" s="6"/>
      <c r="O57" s="6"/>
      <c r="P57" s="6"/>
    </row>
    <row r="58" customFormat="false" ht="15" hidden="false" customHeight="false" outlineLevel="0" collapsed="false">
      <c r="A58" s="2" t="s">
        <v>93</v>
      </c>
      <c r="B58" s="2" t="s">
        <v>12</v>
      </c>
      <c r="C58" s="3" t="n">
        <v>33000</v>
      </c>
      <c r="D58" s="2" t="s">
        <v>403</v>
      </c>
      <c r="E58" s="6" t="n">
        <f aca="false">'Zoning Research'!G58</f>
        <v>0</v>
      </c>
      <c r="F58" s="6" t="n">
        <f aca="false">'Zoning Research'!Q58</f>
        <v>0</v>
      </c>
      <c r="G58" s="6" t="n">
        <f aca="false">'Zoning Research'!V58</f>
        <v>0</v>
      </c>
      <c r="H58" s="6" t="n">
        <f aca="false">'Zoning Research'!Z58</f>
        <v>0</v>
      </c>
      <c r="I58" s="6" t="n">
        <f aca="false">'Zoning Research'!AE58</f>
        <v>0</v>
      </c>
      <c r="J58" s="12" t="n">
        <f aca="false">'Zoning Research'!AF58</f>
        <v>0</v>
      </c>
      <c r="K58" s="6" t="n">
        <f aca="false">'Zoning Research'!AG58</f>
        <v>0</v>
      </c>
      <c r="L58" s="6" t="n">
        <f aca="false">'Zoning Research'!AH58</f>
        <v>0</v>
      </c>
      <c r="M58" s="6" t="n">
        <f aca="false">'Zoning Research'!AI58</f>
        <v>0</v>
      </c>
      <c r="N58" s="6"/>
      <c r="O58" s="6"/>
      <c r="P58" s="6"/>
    </row>
    <row r="59" customFormat="false" ht="15" hidden="false" customHeight="false" outlineLevel="0" collapsed="false">
      <c r="A59" s="2" t="s">
        <v>94</v>
      </c>
      <c r="B59" s="2" t="s">
        <v>12</v>
      </c>
      <c r="C59" s="3" t="n">
        <v>33000</v>
      </c>
      <c r="D59" s="2" t="s">
        <v>403</v>
      </c>
      <c r="E59" s="6" t="n">
        <f aca="false">'Zoning Research'!G59</f>
        <v>0</v>
      </c>
      <c r="F59" s="6" t="n">
        <f aca="false">'Zoning Research'!Q59</f>
        <v>0</v>
      </c>
      <c r="G59" s="6" t="n">
        <f aca="false">'Zoning Research'!V59</f>
        <v>0</v>
      </c>
      <c r="H59" s="6" t="n">
        <f aca="false">'Zoning Research'!Z59</f>
        <v>0</v>
      </c>
      <c r="I59" s="6" t="n">
        <f aca="false">'Zoning Research'!AE59</f>
        <v>0</v>
      </c>
      <c r="J59" s="12" t="n">
        <f aca="false">'Zoning Research'!AF59</f>
        <v>0</v>
      </c>
      <c r="K59" s="6" t="n">
        <f aca="false">'Zoning Research'!AG59</f>
        <v>0</v>
      </c>
      <c r="L59" s="6" t="n">
        <f aca="false">'Zoning Research'!AH59</f>
        <v>0</v>
      </c>
      <c r="M59" s="6" t="n">
        <f aca="false">'Zoning Research'!AI59</f>
        <v>0</v>
      </c>
      <c r="N59" s="6"/>
      <c r="O59" s="6"/>
      <c r="P59" s="6"/>
    </row>
    <row r="60" customFormat="false" ht="15" hidden="false" customHeight="false" outlineLevel="0" collapsed="false">
      <c r="A60" s="2" t="s">
        <v>96</v>
      </c>
      <c r="B60" s="2" t="s">
        <v>12</v>
      </c>
      <c r="C60" s="3" t="n">
        <v>32000</v>
      </c>
      <c r="D60" s="2" t="s">
        <v>403</v>
      </c>
      <c r="E60" s="6" t="n">
        <f aca="false">'Zoning Research'!G60</f>
        <v>20</v>
      </c>
      <c r="F60" s="6" t="n">
        <f aca="false">'Zoning Research'!Q60</f>
        <v>20</v>
      </c>
      <c r="G60" s="6" t="n">
        <f aca="false">'Zoning Research'!V60</f>
        <v>20</v>
      </c>
      <c r="H60" s="6" t="n">
        <f aca="false">'Zoning Research'!Z60</f>
        <v>20</v>
      </c>
      <c r="I60" s="6" t="n">
        <f aca="false">'Zoning Research'!AE60</f>
        <v>20</v>
      </c>
      <c r="J60" s="12" t="n">
        <f aca="false">'Zoning Research'!AF60</f>
        <v>100</v>
      </c>
      <c r="K60" s="6" t="n">
        <f aca="false">'Zoning Research'!AG60</f>
        <v>0</v>
      </c>
      <c r="L60" s="6" t="n">
        <f aca="false">'Zoning Research'!AH60</f>
        <v>0</v>
      </c>
      <c r="M60" s="6" t="str">
        <f aca="false">'Zoning Research'!AI60</f>
        <v>AI Estimate</v>
      </c>
      <c r="N60" s="2" t="n">
        <v>100</v>
      </c>
      <c r="O60" s="2" t="n">
        <v>100</v>
      </c>
      <c r="P60" s="2" t="n">
        <f aca="false">IF(J60="","",J60-AVERAGE(N60,O60))</f>
        <v>0</v>
      </c>
    </row>
    <row r="61" customFormat="false" ht="15" hidden="false" customHeight="false" outlineLevel="0" collapsed="false">
      <c r="A61" s="2" t="s">
        <v>97</v>
      </c>
      <c r="B61" s="2" t="s">
        <v>12</v>
      </c>
      <c r="C61" s="3" t="n">
        <v>31000</v>
      </c>
      <c r="D61" s="2" t="s">
        <v>403</v>
      </c>
      <c r="E61" s="6" t="n">
        <f aca="false">'Zoning Research'!G61</f>
        <v>20</v>
      </c>
      <c r="F61" s="6" t="n">
        <f aca="false">'Zoning Research'!Q61</f>
        <v>20</v>
      </c>
      <c r="G61" s="6" t="n">
        <f aca="false">'Zoning Research'!V61</f>
        <v>20</v>
      </c>
      <c r="H61" s="6" t="n">
        <f aca="false">'Zoning Research'!Z61</f>
        <v>20</v>
      </c>
      <c r="I61" s="6" t="n">
        <f aca="false">'Zoning Research'!AE61</f>
        <v>20</v>
      </c>
      <c r="J61" s="12" t="n">
        <f aca="false">'Zoning Research'!AF61</f>
        <v>100</v>
      </c>
      <c r="K61" s="6" t="n">
        <f aca="false">'Zoning Research'!AG61</f>
        <v>0</v>
      </c>
      <c r="L61" s="6" t="n">
        <f aca="false">'Zoning Research'!AH61</f>
        <v>0</v>
      </c>
      <c r="M61" s="6" t="str">
        <f aca="false">'Zoning Research'!AI61</f>
        <v>AI Estimate</v>
      </c>
      <c r="N61" s="2" t="n">
        <v>100</v>
      </c>
      <c r="O61" s="2" t="n">
        <v>100</v>
      </c>
      <c r="P61" s="2" t="n">
        <f aca="false">IF(J61="","",J61-AVERAGE(N61,O61))</f>
        <v>0</v>
      </c>
    </row>
    <row r="62" customFormat="false" ht="15" hidden="false" customHeight="false" outlineLevel="0" collapsed="false">
      <c r="A62" s="2" t="s">
        <v>98</v>
      </c>
      <c r="B62" s="2" t="s">
        <v>12</v>
      </c>
      <c r="C62" s="3" t="n">
        <v>31000</v>
      </c>
      <c r="D62" s="2" t="s">
        <v>403</v>
      </c>
      <c r="E62" s="6" t="n">
        <f aca="false">'Zoning Research'!G62</f>
        <v>0</v>
      </c>
      <c r="F62" s="6" t="n">
        <f aca="false">'Zoning Research'!Q62</f>
        <v>0</v>
      </c>
      <c r="G62" s="6" t="n">
        <f aca="false">'Zoning Research'!V62</f>
        <v>0</v>
      </c>
      <c r="H62" s="6" t="n">
        <f aca="false">'Zoning Research'!Z62</f>
        <v>0</v>
      </c>
      <c r="I62" s="6" t="n">
        <f aca="false">'Zoning Research'!AE62</f>
        <v>0</v>
      </c>
      <c r="J62" s="12" t="n">
        <f aca="false">'Zoning Research'!AF62</f>
        <v>0</v>
      </c>
      <c r="K62" s="6" t="n">
        <f aca="false">'Zoning Research'!AG62</f>
        <v>0</v>
      </c>
      <c r="L62" s="6" t="n">
        <f aca="false">'Zoning Research'!AH62</f>
        <v>0</v>
      </c>
      <c r="M62" s="6" t="n">
        <f aca="false">'Zoning Research'!AI62</f>
        <v>0</v>
      </c>
      <c r="N62" s="6"/>
      <c r="O62" s="6"/>
      <c r="P62" s="6"/>
    </row>
    <row r="63" customFormat="false" ht="15" hidden="false" customHeight="false" outlineLevel="0" collapsed="false">
      <c r="A63" s="2" t="s">
        <v>99</v>
      </c>
      <c r="B63" s="2" t="s">
        <v>12</v>
      </c>
      <c r="C63" s="3" t="n">
        <v>30000</v>
      </c>
      <c r="D63" s="2" t="s">
        <v>403</v>
      </c>
      <c r="E63" s="6" t="n">
        <f aca="false">'Zoning Research'!G63</f>
        <v>0</v>
      </c>
      <c r="F63" s="6" t="n">
        <f aca="false">'Zoning Research'!Q63</f>
        <v>0</v>
      </c>
      <c r="G63" s="6" t="n">
        <f aca="false">'Zoning Research'!V63</f>
        <v>0</v>
      </c>
      <c r="H63" s="6" t="n">
        <f aca="false">'Zoning Research'!Z63</f>
        <v>0</v>
      </c>
      <c r="I63" s="6" t="n">
        <f aca="false">'Zoning Research'!AE63</f>
        <v>0</v>
      </c>
      <c r="J63" s="12" t="n">
        <f aca="false">'Zoning Research'!AF63</f>
        <v>0</v>
      </c>
      <c r="K63" s="6" t="n">
        <f aca="false">'Zoning Research'!AG63</f>
        <v>0</v>
      </c>
      <c r="L63" s="6" t="n">
        <f aca="false">'Zoning Research'!AH63</f>
        <v>0</v>
      </c>
      <c r="M63" s="6" t="n">
        <f aca="false">'Zoning Research'!AI63</f>
        <v>0</v>
      </c>
      <c r="N63" s="6"/>
      <c r="O63" s="6"/>
      <c r="P63" s="6"/>
    </row>
    <row r="64" customFormat="false" ht="15" hidden="false" customHeight="false" outlineLevel="0" collapsed="false">
      <c r="A64" s="2" t="s">
        <v>100</v>
      </c>
      <c r="B64" s="2" t="s">
        <v>12</v>
      </c>
      <c r="C64" s="3" t="n">
        <v>30000</v>
      </c>
      <c r="D64" s="2" t="s">
        <v>403</v>
      </c>
      <c r="E64" s="6" t="n">
        <f aca="false">'Zoning Research'!G64</f>
        <v>16</v>
      </c>
      <c r="F64" s="6" t="n">
        <f aca="false">'Zoning Research'!Q64</f>
        <v>16</v>
      </c>
      <c r="G64" s="6" t="n">
        <f aca="false">'Zoning Research'!V64</f>
        <v>16</v>
      </c>
      <c r="H64" s="6" t="n">
        <f aca="false">'Zoning Research'!Z64</f>
        <v>16</v>
      </c>
      <c r="I64" s="6" t="n">
        <f aca="false">'Zoning Research'!AE64</f>
        <v>16</v>
      </c>
      <c r="J64" s="12" t="n">
        <f aca="false">'Zoning Research'!AF64</f>
        <v>80</v>
      </c>
      <c r="K64" s="6" t="n">
        <f aca="false">'Zoning Research'!AG64</f>
        <v>0</v>
      </c>
      <c r="L64" s="6" t="n">
        <f aca="false">'Zoning Research'!AH64</f>
        <v>0</v>
      </c>
      <c r="M64" s="6" t="str">
        <f aca="false">'Zoning Research'!AI64</f>
        <v>AI Estimate</v>
      </c>
      <c r="N64" s="2" t="n">
        <v>65</v>
      </c>
      <c r="O64" s="2" t="n">
        <v>100</v>
      </c>
      <c r="P64" s="2" t="n">
        <f aca="false">IF(J64="","",J64-AVERAGE(N64,O64))</f>
        <v>-2.5</v>
      </c>
    </row>
    <row r="65" customFormat="false" ht="15" hidden="false" customHeight="false" outlineLevel="0" collapsed="false">
      <c r="A65" s="2" t="s">
        <v>101</v>
      </c>
      <c r="B65" s="2" t="s">
        <v>12</v>
      </c>
      <c r="C65" s="3" t="n">
        <v>30000</v>
      </c>
      <c r="D65" s="2" t="s">
        <v>403</v>
      </c>
      <c r="E65" s="6" t="n">
        <f aca="false">'Zoning Research'!G65</f>
        <v>0</v>
      </c>
      <c r="F65" s="6" t="n">
        <f aca="false">'Zoning Research'!Q65</f>
        <v>0</v>
      </c>
      <c r="G65" s="6" t="n">
        <f aca="false">'Zoning Research'!V65</f>
        <v>0</v>
      </c>
      <c r="H65" s="6" t="n">
        <f aca="false">'Zoning Research'!Z65</f>
        <v>0</v>
      </c>
      <c r="I65" s="6" t="n">
        <f aca="false">'Zoning Research'!AE65</f>
        <v>0</v>
      </c>
      <c r="J65" s="12" t="n">
        <f aca="false">'Zoning Research'!AF65</f>
        <v>0</v>
      </c>
      <c r="K65" s="6" t="n">
        <f aca="false">'Zoning Research'!AG65</f>
        <v>0</v>
      </c>
      <c r="L65" s="6" t="n">
        <f aca="false">'Zoning Research'!AH65</f>
        <v>0</v>
      </c>
      <c r="M65" s="6" t="n">
        <f aca="false">'Zoning Research'!AI65</f>
        <v>0</v>
      </c>
      <c r="N65" s="6"/>
      <c r="O65" s="6"/>
      <c r="P65" s="6"/>
    </row>
    <row r="66" customFormat="false" ht="15" hidden="false" customHeight="false" outlineLevel="0" collapsed="false">
      <c r="A66" s="2" t="s">
        <v>102</v>
      </c>
      <c r="B66" s="2" t="s">
        <v>12</v>
      </c>
      <c r="C66" s="3" t="n">
        <v>30000</v>
      </c>
      <c r="D66" s="2" t="s">
        <v>403</v>
      </c>
      <c r="E66" s="6" t="n">
        <f aca="false">'Zoning Research'!G66</f>
        <v>0</v>
      </c>
      <c r="F66" s="6" t="n">
        <f aca="false">'Zoning Research'!Q66</f>
        <v>0</v>
      </c>
      <c r="G66" s="6" t="n">
        <f aca="false">'Zoning Research'!V66</f>
        <v>0</v>
      </c>
      <c r="H66" s="6" t="n">
        <f aca="false">'Zoning Research'!Z66</f>
        <v>0</v>
      </c>
      <c r="I66" s="6" t="n">
        <f aca="false">'Zoning Research'!AE66</f>
        <v>0</v>
      </c>
      <c r="J66" s="12" t="n">
        <f aca="false">'Zoning Research'!AF66</f>
        <v>0</v>
      </c>
      <c r="K66" s="6" t="n">
        <f aca="false">'Zoning Research'!AG66</f>
        <v>0</v>
      </c>
      <c r="L66" s="6" t="n">
        <f aca="false">'Zoning Research'!AH66</f>
        <v>0</v>
      </c>
      <c r="M66" s="6" t="n">
        <f aca="false">'Zoning Research'!AI66</f>
        <v>0</v>
      </c>
      <c r="N66" s="6"/>
      <c r="O66" s="6"/>
      <c r="P66" s="6"/>
    </row>
    <row r="67" customFormat="false" ht="15" hidden="false" customHeight="false" outlineLevel="0" collapsed="false">
      <c r="A67" s="2" t="s">
        <v>104</v>
      </c>
      <c r="B67" s="2" t="s">
        <v>12</v>
      </c>
      <c r="C67" s="3" t="n">
        <v>30000</v>
      </c>
      <c r="D67" s="2" t="s">
        <v>403</v>
      </c>
      <c r="E67" s="6" t="n">
        <f aca="false">'Zoning Research'!G67</f>
        <v>0</v>
      </c>
      <c r="F67" s="6" t="n">
        <f aca="false">'Zoning Research'!Q67</f>
        <v>0</v>
      </c>
      <c r="G67" s="6" t="n">
        <f aca="false">'Zoning Research'!V67</f>
        <v>0</v>
      </c>
      <c r="H67" s="6" t="n">
        <f aca="false">'Zoning Research'!Z67</f>
        <v>0</v>
      </c>
      <c r="I67" s="6" t="n">
        <f aca="false">'Zoning Research'!AE67</f>
        <v>0</v>
      </c>
      <c r="J67" s="12" t="n">
        <f aca="false">'Zoning Research'!AF67</f>
        <v>0</v>
      </c>
      <c r="K67" s="6" t="n">
        <f aca="false">'Zoning Research'!AG67</f>
        <v>0</v>
      </c>
      <c r="L67" s="6" t="n">
        <f aca="false">'Zoning Research'!AH67</f>
        <v>0</v>
      </c>
      <c r="M67" s="6" t="n">
        <f aca="false">'Zoning Research'!AI67</f>
        <v>0</v>
      </c>
      <c r="N67" s="6"/>
      <c r="O67" s="6"/>
      <c r="P67" s="6"/>
    </row>
    <row r="68" customFormat="false" ht="15" hidden="false" customHeight="false" outlineLevel="0" collapsed="false">
      <c r="A68" s="2" t="s">
        <v>106</v>
      </c>
      <c r="B68" s="2" t="s">
        <v>12</v>
      </c>
      <c r="C68" s="3" t="n">
        <v>30000</v>
      </c>
      <c r="D68" s="2" t="s">
        <v>403</v>
      </c>
      <c r="E68" s="6" t="n">
        <f aca="false">'Zoning Research'!G68</f>
        <v>0</v>
      </c>
      <c r="F68" s="6" t="n">
        <f aca="false">'Zoning Research'!Q68</f>
        <v>0</v>
      </c>
      <c r="G68" s="6" t="n">
        <f aca="false">'Zoning Research'!V68</f>
        <v>0</v>
      </c>
      <c r="H68" s="6" t="n">
        <f aca="false">'Zoning Research'!Z68</f>
        <v>0</v>
      </c>
      <c r="I68" s="6" t="n">
        <f aca="false">'Zoning Research'!AE68</f>
        <v>0</v>
      </c>
      <c r="J68" s="12" t="n">
        <f aca="false">'Zoning Research'!AF68</f>
        <v>0</v>
      </c>
      <c r="K68" s="6" t="n">
        <f aca="false">'Zoning Research'!AG68</f>
        <v>0</v>
      </c>
      <c r="L68" s="6" t="n">
        <f aca="false">'Zoning Research'!AH68</f>
        <v>0</v>
      </c>
      <c r="M68" s="6" t="n">
        <f aca="false">'Zoning Research'!AI68</f>
        <v>0</v>
      </c>
      <c r="N68" s="6"/>
      <c r="O68" s="6"/>
      <c r="P68" s="6"/>
    </row>
    <row r="69" customFormat="false" ht="15" hidden="false" customHeight="false" outlineLevel="0" collapsed="false">
      <c r="A69" s="2" t="s">
        <v>108</v>
      </c>
      <c r="B69" s="2" t="s">
        <v>12</v>
      </c>
      <c r="C69" s="3" t="n">
        <v>30000</v>
      </c>
      <c r="D69" s="2" t="s">
        <v>403</v>
      </c>
      <c r="E69" s="6" t="n">
        <f aca="false">'Zoning Research'!G69</f>
        <v>0</v>
      </c>
      <c r="F69" s="6" t="n">
        <f aca="false">'Zoning Research'!Q69</f>
        <v>0</v>
      </c>
      <c r="G69" s="6" t="n">
        <f aca="false">'Zoning Research'!V69</f>
        <v>0</v>
      </c>
      <c r="H69" s="6" t="n">
        <f aca="false">'Zoning Research'!Z69</f>
        <v>0</v>
      </c>
      <c r="I69" s="6" t="n">
        <f aca="false">'Zoning Research'!AE69</f>
        <v>0</v>
      </c>
      <c r="J69" s="12" t="n">
        <f aca="false">'Zoning Research'!AF69</f>
        <v>0</v>
      </c>
      <c r="K69" s="6" t="n">
        <f aca="false">'Zoning Research'!AG69</f>
        <v>0</v>
      </c>
      <c r="L69" s="6" t="n">
        <f aca="false">'Zoning Research'!AH69</f>
        <v>0</v>
      </c>
      <c r="M69" s="6" t="n">
        <f aca="false">'Zoning Research'!AI69</f>
        <v>0</v>
      </c>
      <c r="N69" s="6"/>
      <c r="O69" s="6"/>
      <c r="P69" s="6"/>
    </row>
    <row r="70" customFormat="false" ht="15" hidden="false" customHeight="false" outlineLevel="0" collapsed="false">
      <c r="A70" s="2" t="s">
        <v>109</v>
      </c>
      <c r="B70" s="2" t="s">
        <v>12</v>
      </c>
      <c r="C70" s="3" t="n">
        <v>28000</v>
      </c>
      <c r="D70" s="2" t="s">
        <v>403</v>
      </c>
      <c r="E70" s="6" t="n">
        <f aca="false">'Zoning Research'!G70</f>
        <v>16</v>
      </c>
      <c r="F70" s="6" t="n">
        <f aca="false">'Zoning Research'!Q70</f>
        <v>16</v>
      </c>
      <c r="G70" s="6" t="n">
        <f aca="false">'Zoning Research'!V70</f>
        <v>16</v>
      </c>
      <c r="H70" s="6" t="n">
        <f aca="false">'Zoning Research'!Z70</f>
        <v>16</v>
      </c>
      <c r="I70" s="6" t="n">
        <f aca="false">'Zoning Research'!AE70</f>
        <v>16</v>
      </c>
      <c r="J70" s="12" t="n">
        <f aca="false">'Zoning Research'!AF70</f>
        <v>80</v>
      </c>
      <c r="K70" s="6" t="n">
        <f aca="false">'Zoning Research'!AG70</f>
        <v>0</v>
      </c>
      <c r="L70" s="6" t="n">
        <f aca="false">'Zoning Research'!AH70</f>
        <v>0</v>
      </c>
      <c r="M70" s="6" t="str">
        <f aca="false">'Zoning Research'!AI70</f>
        <v>AI Estimate</v>
      </c>
      <c r="N70" s="2" t="n">
        <v>65</v>
      </c>
      <c r="O70" s="2" t="n">
        <v>100</v>
      </c>
      <c r="P70" s="2" t="n">
        <f aca="false">IF(J70="","",J70-AVERAGE(N70,O70))</f>
        <v>-2.5</v>
      </c>
    </row>
    <row r="71" customFormat="false" ht="15" hidden="false" customHeight="false" outlineLevel="0" collapsed="false">
      <c r="A71" s="2" t="s">
        <v>110</v>
      </c>
      <c r="B71" s="2" t="s">
        <v>12</v>
      </c>
      <c r="C71" s="3" t="n">
        <v>28000</v>
      </c>
      <c r="D71" s="2" t="s">
        <v>403</v>
      </c>
      <c r="E71" s="6" t="n">
        <f aca="false">'Zoning Research'!G71</f>
        <v>20</v>
      </c>
      <c r="F71" s="6" t="n">
        <f aca="false">'Zoning Research'!Q71</f>
        <v>20</v>
      </c>
      <c r="G71" s="6" t="n">
        <f aca="false">'Zoning Research'!V71</f>
        <v>20</v>
      </c>
      <c r="H71" s="6" t="n">
        <f aca="false">'Zoning Research'!Z71</f>
        <v>20</v>
      </c>
      <c r="I71" s="6" t="n">
        <f aca="false">'Zoning Research'!AE71</f>
        <v>20</v>
      </c>
      <c r="J71" s="12" t="n">
        <f aca="false">'Zoning Research'!AF71</f>
        <v>100</v>
      </c>
      <c r="K71" s="6" t="n">
        <f aca="false">'Zoning Research'!AG71</f>
        <v>0</v>
      </c>
      <c r="L71" s="6" t="n">
        <f aca="false">'Zoning Research'!AH71</f>
        <v>0</v>
      </c>
      <c r="M71" s="6" t="str">
        <f aca="false">'Zoning Research'!AI71</f>
        <v>AI Estimate</v>
      </c>
      <c r="N71" s="2" t="n">
        <v>100</v>
      </c>
      <c r="O71" s="2" t="n">
        <v>100</v>
      </c>
      <c r="P71" s="2" t="n">
        <f aca="false">IF(J71="","",J71-AVERAGE(N71,O71))</f>
        <v>0</v>
      </c>
    </row>
    <row r="72" customFormat="false" ht="15" hidden="false" customHeight="false" outlineLevel="0" collapsed="false">
      <c r="A72" s="2" t="s">
        <v>111</v>
      </c>
      <c r="B72" s="2" t="s">
        <v>12</v>
      </c>
      <c r="C72" s="3" t="n">
        <v>28000</v>
      </c>
      <c r="D72" s="2" t="s">
        <v>403</v>
      </c>
      <c r="E72" s="6" t="n">
        <f aca="false">'Zoning Research'!G72</f>
        <v>0</v>
      </c>
      <c r="F72" s="6" t="n">
        <f aca="false">'Zoning Research'!Q72</f>
        <v>0</v>
      </c>
      <c r="G72" s="6" t="n">
        <f aca="false">'Zoning Research'!V72</f>
        <v>0</v>
      </c>
      <c r="H72" s="6" t="n">
        <f aca="false">'Zoning Research'!Z72</f>
        <v>0</v>
      </c>
      <c r="I72" s="6" t="n">
        <f aca="false">'Zoning Research'!AE72</f>
        <v>0</v>
      </c>
      <c r="J72" s="12" t="n">
        <f aca="false">'Zoning Research'!AF72</f>
        <v>0</v>
      </c>
      <c r="K72" s="6" t="n">
        <f aca="false">'Zoning Research'!AG72</f>
        <v>0</v>
      </c>
      <c r="L72" s="6" t="n">
        <f aca="false">'Zoning Research'!AH72</f>
        <v>0</v>
      </c>
      <c r="M72" s="6" t="n">
        <f aca="false">'Zoning Research'!AI72</f>
        <v>0</v>
      </c>
      <c r="N72" s="6"/>
      <c r="O72" s="6"/>
      <c r="P72" s="6"/>
    </row>
    <row r="73" customFormat="false" ht="15" hidden="false" customHeight="false" outlineLevel="0" collapsed="false">
      <c r="A73" s="2" t="s">
        <v>113</v>
      </c>
      <c r="B73" s="2" t="s">
        <v>12</v>
      </c>
      <c r="C73" s="3" t="n">
        <v>27000</v>
      </c>
      <c r="D73" s="2" t="s">
        <v>403</v>
      </c>
      <c r="E73" s="6" t="n">
        <f aca="false">'Zoning Research'!G73</f>
        <v>0</v>
      </c>
      <c r="F73" s="6" t="n">
        <f aca="false">'Zoning Research'!Q73</f>
        <v>0</v>
      </c>
      <c r="G73" s="6" t="n">
        <f aca="false">'Zoning Research'!V73</f>
        <v>0</v>
      </c>
      <c r="H73" s="6" t="n">
        <f aca="false">'Zoning Research'!Z73</f>
        <v>0</v>
      </c>
      <c r="I73" s="6" t="n">
        <f aca="false">'Zoning Research'!AE73</f>
        <v>0</v>
      </c>
      <c r="J73" s="12" t="n">
        <f aca="false">'Zoning Research'!AF73</f>
        <v>0</v>
      </c>
      <c r="K73" s="6" t="n">
        <f aca="false">'Zoning Research'!AG73</f>
        <v>0</v>
      </c>
      <c r="L73" s="6" t="n">
        <f aca="false">'Zoning Research'!AH73</f>
        <v>0</v>
      </c>
      <c r="M73" s="6" t="n">
        <f aca="false">'Zoning Research'!AI73</f>
        <v>0</v>
      </c>
      <c r="N73" s="6"/>
      <c r="O73" s="6"/>
      <c r="P73" s="6"/>
    </row>
    <row r="74" customFormat="false" ht="15" hidden="false" customHeight="false" outlineLevel="0" collapsed="false">
      <c r="A74" s="2" t="s">
        <v>79</v>
      </c>
      <c r="B74" s="2" t="s">
        <v>12</v>
      </c>
      <c r="C74" s="3" t="n">
        <v>27000</v>
      </c>
      <c r="D74" s="2" t="s">
        <v>403</v>
      </c>
      <c r="E74" s="6" t="n">
        <f aca="false">'Zoning Research'!G74</f>
        <v>0</v>
      </c>
      <c r="F74" s="6" t="n">
        <f aca="false">'Zoning Research'!Q74</f>
        <v>0</v>
      </c>
      <c r="G74" s="6" t="n">
        <f aca="false">'Zoning Research'!V74</f>
        <v>0</v>
      </c>
      <c r="H74" s="6" t="n">
        <f aca="false">'Zoning Research'!Z74</f>
        <v>0</v>
      </c>
      <c r="I74" s="6" t="n">
        <f aca="false">'Zoning Research'!AE74</f>
        <v>0</v>
      </c>
      <c r="J74" s="12" t="n">
        <f aca="false">'Zoning Research'!AF74</f>
        <v>0</v>
      </c>
      <c r="K74" s="6" t="n">
        <f aca="false">'Zoning Research'!AG74</f>
        <v>0</v>
      </c>
      <c r="L74" s="6" t="n">
        <f aca="false">'Zoning Research'!AH74</f>
        <v>0</v>
      </c>
      <c r="M74" s="6" t="n">
        <f aca="false">'Zoning Research'!AI74</f>
        <v>0</v>
      </c>
      <c r="N74" s="6"/>
      <c r="O74" s="6"/>
      <c r="P74" s="6"/>
    </row>
    <row r="75" customFormat="false" ht="15" hidden="false" customHeight="false" outlineLevel="0" collapsed="false">
      <c r="A75" s="2" t="s">
        <v>114</v>
      </c>
      <c r="B75" s="2" t="s">
        <v>12</v>
      </c>
      <c r="C75" s="3" t="n">
        <v>27000</v>
      </c>
      <c r="D75" s="2" t="s">
        <v>403</v>
      </c>
      <c r="E75" s="6" t="n">
        <f aca="false">'Zoning Research'!G75</f>
        <v>0</v>
      </c>
      <c r="F75" s="6" t="n">
        <f aca="false">'Zoning Research'!Q75</f>
        <v>0</v>
      </c>
      <c r="G75" s="6" t="n">
        <f aca="false">'Zoning Research'!V75</f>
        <v>0</v>
      </c>
      <c r="H75" s="6" t="n">
        <f aca="false">'Zoning Research'!Z75</f>
        <v>0</v>
      </c>
      <c r="I75" s="6" t="n">
        <f aca="false">'Zoning Research'!AE75</f>
        <v>0</v>
      </c>
      <c r="J75" s="12" t="n">
        <f aca="false">'Zoning Research'!AF75</f>
        <v>0</v>
      </c>
      <c r="K75" s="6" t="n">
        <f aca="false">'Zoning Research'!AG75</f>
        <v>0</v>
      </c>
      <c r="L75" s="6" t="n">
        <f aca="false">'Zoning Research'!AH75</f>
        <v>0</v>
      </c>
      <c r="M75" s="6" t="n">
        <f aca="false">'Zoning Research'!AI75</f>
        <v>0</v>
      </c>
      <c r="N75" s="6"/>
      <c r="O75" s="6"/>
      <c r="P75" s="6"/>
    </row>
    <row r="76" customFormat="false" ht="15" hidden="false" customHeight="false" outlineLevel="0" collapsed="false">
      <c r="A76" s="2" t="s">
        <v>115</v>
      </c>
      <c r="B76" s="2" t="s">
        <v>12</v>
      </c>
      <c r="C76" s="3" t="n">
        <v>26000</v>
      </c>
      <c r="D76" s="2" t="s">
        <v>403</v>
      </c>
      <c r="E76" s="6" t="n">
        <f aca="false">'Zoning Research'!G76</f>
        <v>0</v>
      </c>
      <c r="F76" s="6" t="n">
        <f aca="false">'Zoning Research'!Q76</f>
        <v>0</v>
      </c>
      <c r="G76" s="6" t="n">
        <f aca="false">'Zoning Research'!V76</f>
        <v>0</v>
      </c>
      <c r="H76" s="6" t="n">
        <f aca="false">'Zoning Research'!Z76</f>
        <v>0</v>
      </c>
      <c r="I76" s="6" t="n">
        <f aca="false">'Zoning Research'!AE76</f>
        <v>0</v>
      </c>
      <c r="J76" s="12" t="n">
        <f aca="false">'Zoning Research'!AF76</f>
        <v>0</v>
      </c>
      <c r="K76" s="6" t="n">
        <f aca="false">'Zoning Research'!AG76</f>
        <v>0</v>
      </c>
      <c r="L76" s="6" t="n">
        <f aca="false">'Zoning Research'!AH76</f>
        <v>0</v>
      </c>
      <c r="M76" s="6" t="n">
        <f aca="false">'Zoning Research'!AI76</f>
        <v>0</v>
      </c>
      <c r="N76" s="6"/>
      <c r="O76" s="6"/>
      <c r="P76" s="6"/>
    </row>
    <row r="77" customFormat="false" ht="15" hidden="false" customHeight="false" outlineLevel="0" collapsed="false">
      <c r="A77" s="2" t="s">
        <v>116</v>
      </c>
      <c r="B77" s="2" t="s">
        <v>12</v>
      </c>
      <c r="C77" s="3" t="n">
        <v>26000</v>
      </c>
      <c r="D77" s="2" t="s">
        <v>403</v>
      </c>
      <c r="E77" s="6" t="n">
        <f aca="false">'Zoning Research'!G77</f>
        <v>0</v>
      </c>
      <c r="F77" s="6" t="n">
        <f aca="false">'Zoning Research'!Q77</f>
        <v>0</v>
      </c>
      <c r="G77" s="6" t="n">
        <f aca="false">'Zoning Research'!V77</f>
        <v>0</v>
      </c>
      <c r="H77" s="6" t="n">
        <f aca="false">'Zoning Research'!Z77</f>
        <v>0</v>
      </c>
      <c r="I77" s="6" t="n">
        <f aca="false">'Zoning Research'!AE77</f>
        <v>0</v>
      </c>
      <c r="J77" s="12" t="n">
        <f aca="false">'Zoning Research'!AF77</f>
        <v>0</v>
      </c>
      <c r="K77" s="6" t="n">
        <f aca="false">'Zoning Research'!AG77</f>
        <v>0</v>
      </c>
      <c r="L77" s="6" t="n">
        <f aca="false">'Zoning Research'!AH77</f>
        <v>0</v>
      </c>
      <c r="M77" s="6" t="n">
        <f aca="false">'Zoning Research'!AI77</f>
        <v>0</v>
      </c>
      <c r="N77" s="6"/>
      <c r="O77" s="6"/>
      <c r="P77" s="6"/>
    </row>
    <row r="78" customFormat="false" ht="15" hidden="false" customHeight="false" outlineLevel="0" collapsed="false">
      <c r="A78" s="2" t="s">
        <v>117</v>
      </c>
      <c r="B78" s="2" t="s">
        <v>12</v>
      </c>
      <c r="C78" s="3" t="n">
        <v>26000</v>
      </c>
      <c r="D78" s="2" t="s">
        <v>403</v>
      </c>
      <c r="E78" s="6" t="n">
        <f aca="false">'Zoning Research'!G78</f>
        <v>0</v>
      </c>
      <c r="F78" s="6" t="n">
        <f aca="false">'Zoning Research'!Q78</f>
        <v>0</v>
      </c>
      <c r="G78" s="6" t="n">
        <f aca="false">'Zoning Research'!V78</f>
        <v>0</v>
      </c>
      <c r="H78" s="6" t="n">
        <f aca="false">'Zoning Research'!Z78</f>
        <v>0</v>
      </c>
      <c r="I78" s="6" t="n">
        <f aca="false">'Zoning Research'!AE78</f>
        <v>0</v>
      </c>
      <c r="J78" s="12" t="n">
        <f aca="false">'Zoning Research'!AF78</f>
        <v>0</v>
      </c>
      <c r="K78" s="6" t="n">
        <f aca="false">'Zoning Research'!AG78</f>
        <v>0</v>
      </c>
      <c r="L78" s="6" t="n">
        <f aca="false">'Zoning Research'!AH78</f>
        <v>0</v>
      </c>
      <c r="M78" s="6" t="n">
        <f aca="false">'Zoning Research'!AI78</f>
        <v>0</v>
      </c>
      <c r="N78" s="6"/>
      <c r="O78" s="6"/>
      <c r="P78" s="6"/>
    </row>
    <row r="79" customFormat="false" ht="15" hidden="false" customHeight="false" outlineLevel="0" collapsed="false">
      <c r="A79" s="2" t="s">
        <v>118</v>
      </c>
      <c r="B79" s="2" t="s">
        <v>12</v>
      </c>
      <c r="C79" s="3" t="n">
        <v>25000</v>
      </c>
      <c r="D79" s="2" t="s">
        <v>403</v>
      </c>
      <c r="E79" s="6" t="n">
        <f aca="false">'Zoning Research'!G79</f>
        <v>20</v>
      </c>
      <c r="F79" s="6" t="n">
        <f aca="false">'Zoning Research'!Q79</f>
        <v>20</v>
      </c>
      <c r="G79" s="6" t="n">
        <f aca="false">'Zoning Research'!V79</f>
        <v>20</v>
      </c>
      <c r="H79" s="6" t="n">
        <f aca="false">'Zoning Research'!Z79</f>
        <v>20</v>
      </c>
      <c r="I79" s="6" t="n">
        <f aca="false">'Zoning Research'!AE79</f>
        <v>20</v>
      </c>
      <c r="J79" s="12" t="n">
        <f aca="false">'Zoning Research'!AF79</f>
        <v>100</v>
      </c>
      <c r="K79" s="6" t="n">
        <f aca="false">'Zoning Research'!AG79</f>
        <v>0</v>
      </c>
      <c r="L79" s="6" t="n">
        <f aca="false">'Zoning Research'!AH79</f>
        <v>0</v>
      </c>
      <c r="M79" s="6" t="str">
        <f aca="false">'Zoning Research'!AI79</f>
        <v>AI Estimate</v>
      </c>
      <c r="N79" s="2" t="n">
        <v>100</v>
      </c>
      <c r="O79" s="2" t="n">
        <v>100</v>
      </c>
      <c r="P79" s="2" t="n">
        <f aca="false">IF(J79="","",J79-AVERAGE(N79,O79))</f>
        <v>0</v>
      </c>
    </row>
    <row r="80" customFormat="false" ht="15" hidden="false" customHeight="false" outlineLevel="0" collapsed="false">
      <c r="A80" s="2" t="s">
        <v>119</v>
      </c>
      <c r="B80" s="2" t="s">
        <v>12</v>
      </c>
      <c r="C80" s="3" t="n">
        <v>25000</v>
      </c>
      <c r="D80" s="2" t="s">
        <v>403</v>
      </c>
      <c r="E80" s="6" t="n">
        <f aca="false">'Zoning Research'!G80</f>
        <v>0</v>
      </c>
      <c r="F80" s="6" t="n">
        <f aca="false">'Zoning Research'!Q80</f>
        <v>0</v>
      </c>
      <c r="G80" s="6" t="n">
        <f aca="false">'Zoning Research'!V80</f>
        <v>0</v>
      </c>
      <c r="H80" s="6" t="n">
        <f aca="false">'Zoning Research'!Z80</f>
        <v>0</v>
      </c>
      <c r="I80" s="6" t="n">
        <f aca="false">'Zoning Research'!AE80</f>
        <v>0</v>
      </c>
      <c r="J80" s="12" t="n">
        <f aca="false">'Zoning Research'!AF80</f>
        <v>0</v>
      </c>
      <c r="K80" s="6" t="n">
        <f aca="false">'Zoning Research'!AG80</f>
        <v>0</v>
      </c>
      <c r="L80" s="6" t="n">
        <f aca="false">'Zoning Research'!AH80</f>
        <v>0</v>
      </c>
      <c r="M80" s="6" t="n">
        <f aca="false">'Zoning Research'!AI80</f>
        <v>0</v>
      </c>
      <c r="N80" s="6"/>
      <c r="O80" s="6"/>
      <c r="P80" s="6"/>
    </row>
    <row r="81" customFormat="false" ht="15" hidden="false" customHeight="false" outlineLevel="0" collapsed="false">
      <c r="A81" s="2" t="s">
        <v>120</v>
      </c>
      <c r="B81" s="2" t="s">
        <v>12</v>
      </c>
      <c r="C81" s="3" t="n">
        <v>25000</v>
      </c>
      <c r="D81" s="2" t="s">
        <v>403</v>
      </c>
      <c r="E81" s="6" t="n">
        <f aca="false">'Zoning Research'!G81</f>
        <v>0</v>
      </c>
      <c r="F81" s="6" t="n">
        <f aca="false">'Zoning Research'!Q81</f>
        <v>0</v>
      </c>
      <c r="G81" s="6" t="n">
        <f aca="false">'Zoning Research'!V81</f>
        <v>0</v>
      </c>
      <c r="H81" s="6" t="n">
        <f aca="false">'Zoning Research'!Z81</f>
        <v>0</v>
      </c>
      <c r="I81" s="6" t="n">
        <f aca="false">'Zoning Research'!AE81</f>
        <v>0</v>
      </c>
      <c r="J81" s="12" t="n">
        <f aca="false">'Zoning Research'!AF81</f>
        <v>0</v>
      </c>
      <c r="K81" s="6" t="n">
        <f aca="false">'Zoning Research'!AG81</f>
        <v>0</v>
      </c>
      <c r="L81" s="6" t="n">
        <f aca="false">'Zoning Research'!AH81</f>
        <v>0</v>
      </c>
      <c r="M81" s="6" t="n">
        <f aca="false">'Zoning Research'!AI81</f>
        <v>0</v>
      </c>
      <c r="N81" s="6"/>
      <c r="O81" s="6"/>
      <c r="P81" s="6"/>
    </row>
    <row r="82" customFormat="false" ht="15" hidden="false" customHeight="false" outlineLevel="0" collapsed="false">
      <c r="A82" s="2" t="s">
        <v>121</v>
      </c>
      <c r="B82" s="2" t="s">
        <v>12</v>
      </c>
      <c r="C82" s="3" t="n">
        <v>25000</v>
      </c>
      <c r="D82" s="2" t="s">
        <v>403</v>
      </c>
      <c r="E82" s="6" t="n">
        <f aca="false">'Zoning Research'!G82</f>
        <v>0</v>
      </c>
      <c r="F82" s="6" t="n">
        <f aca="false">'Zoning Research'!Q82</f>
        <v>0</v>
      </c>
      <c r="G82" s="6" t="n">
        <f aca="false">'Zoning Research'!V82</f>
        <v>0</v>
      </c>
      <c r="H82" s="6" t="n">
        <f aca="false">'Zoning Research'!Z82</f>
        <v>0</v>
      </c>
      <c r="I82" s="6" t="n">
        <f aca="false">'Zoning Research'!AE82</f>
        <v>0</v>
      </c>
      <c r="J82" s="12" t="n">
        <f aca="false">'Zoning Research'!AF82</f>
        <v>0</v>
      </c>
      <c r="K82" s="6" t="n">
        <f aca="false">'Zoning Research'!AG82</f>
        <v>0</v>
      </c>
      <c r="L82" s="6" t="n">
        <f aca="false">'Zoning Research'!AH82</f>
        <v>0</v>
      </c>
      <c r="M82" s="6" t="n">
        <f aca="false">'Zoning Research'!AI82</f>
        <v>0</v>
      </c>
      <c r="N82" s="6"/>
      <c r="O82" s="6"/>
      <c r="P82" s="6"/>
    </row>
    <row r="83" customFormat="false" ht="15" hidden="false" customHeight="false" outlineLevel="0" collapsed="false">
      <c r="A83" s="2" t="s">
        <v>122</v>
      </c>
      <c r="B83" s="2" t="s">
        <v>12</v>
      </c>
      <c r="C83" s="3" t="n">
        <v>24000</v>
      </c>
      <c r="D83" s="2" t="s">
        <v>403</v>
      </c>
      <c r="E83" s="6" t="n">
        <f aca="false">'Zoning Research'!G83</f>
        <v>16</v>
      </c>
      <c r="F83" s="6" t="n">
        <f aca="false">'Zoning Research'!Q83</f>
        <v>16</v>
      </c>
      <c r="G83" s="6" t="n">
        <f aca="false">'Zoning Research'!V83</f>
        <v>16</v>
      </c>
      <c r="H83" s="6" t="n">
        <f aca="false">'Zoning Research'!Z83</f>
        <v>16</v>
      </c>
      <c r="I83" s="6" t="n">
        <f aca="false">'Zoning Research'!AE83</f>
        <v>16</v>
      </c>
      <c r="J83" s="12" t="n">
        <f aca="false">'Zoning Research'!AF83</f>
        <v>80</v>
      </c>
      <c r="K83" s="6" t="n">
        <f aca="false">'Zoning Research'!AG83</f>
        <v>0</v>
      </c>
      <c r="L83" s="6" t="n">
        <f aca="false">'Zoning Research'!AH83</f>
        <v>0</v>
      </c>
      <c r="M83" s="6" t="str">
        <f aca="false">'Zoning Research'!AI83</f>
        <v>AI Estimate</v>
      </c>
      <c r="N83" s="2" t="n">
        <v>65</v>
      </c>
      <c r="O83" s="2" t="n">
        <v>100</v>
      </c>
      <c r="P83" s="2" t="n">
        <f aca="false">IF(J83="","",J83-AVERAGE(N83,O83))</f>
        <v>-2.5</v>
      </c>
    </row>
    <row r="84" customFormat="false" ht="15" hidden="false" customHeight="false" outlineLevel="0" collapsed="false">
      <c r="A84" s="2" t="s">
        <v>123</v>
      </c>
      <c r="B84" s="2" t="s">
        <v>12</v>
      </c>
      <c r="C84" s="3" t="n">
        <v>24000</v>
      </c>
      <c r="D84" s="2" t="s">
        <v>403</v>
      </c>
      <c r="E84" s="6" t="n">
        <f aca="false">'Zoning Research'!G84</f>
        <v>0</v>
      </c>
      <c r="F84" s="6" t="n">
        <f aca="false">'Zoning Research'!Q84</f>
        <v>0</v>
      </c>
      <c r="G84" s="6" t="n">
        <f aca="false">'Zoning Research'!V84</f>
        <v>0</v>
      </c>
      <c r="H84" s="6" t="n">
        <f aca="false">'Zoning Research'!Z84</f>
        <v>0</v>
      </c>
      <c r="I84" s="6" t="n">
        <f aca="false">'Zoning Research'!AE84</f>
        <v>0</v>
      </c>
      <c r="J84" s="12" t="n">
        <f aca="false">'Zoning Research'!AF84</f>
        <v>0</v>
      </c>
      <c r="K84" s="6" t="n">
        <f aca="false">'Zoning Research'!AG84</f>
        <v>0</v>
      </c>
      <c r="L84" s="6" t="n">
        <f aca="false">'Zoning Research'!AH84</f>
        <v>0</v>
      </c>
      <c r="M84" s="6" t="n">
        <f aca="false">'Zoning Research'!AI84</f>
        <v>0</v>
      </c>
      <c r="N84" s="6"/>
      <c r="O84" s="6"/>
      <c r="P84" s="6"/>
    </row>
    <row r="85" customFormat="false" ht="15" hidden="false" customHeight="false" outlineLevel="0" collapsed="false">
      <c r="A85" s="2" t="s">
        <v>124</v>
      </c>
      <c r="B85" s="2" t="s">
        <v>12</v>
      </c>
      <c r="C85" s="3" t="n">
        <v>24000</v>
      </c>
      <c r="D85" s="2" t="s">
        <v>403</v>
      </c>
      <c r="E85" s="6" t="n">
        <f aca="false">'Zoning Research'!G85</f>
        <v>18</v>
      </c>
      <c r="F85" s="6" t="n">
        <f aca="false">'Zoning Research'!Q85</f>
        <v>18</v>
      </c>
      <c r="G85" s="6" t="n">
        <f aca="false">'Zoning Research'!V85</f>
        <v>18</v>
      </c>
      <c r="H85" s="6" t="n">
        <f aca="false">'Zoning Research'!Z85</f>
        <v>18</v>
      </c>
      <c r="I85" s="6" t="n">
        <f aca="false">'Zoning Research'!AE85</f>
        <v>18</v>
      </c>
      <c r="J85" s="12" t="n">
        <f aca="false">'Zoning Research'!AF85</f>
        <v>90</v>
      </c>
      <c r="K85" s="6" t="n">
        <f aca="false">'Zoning Research'!AG85</f>
        <v>0</v>
      </c>
      <c r="L85" s="6" t="n">
        <f aca="false">'Zoning Research'!AH85</f>
        <v>0</v>
      </c>
      <c r="M85" s="6" t="str">
        <f aca="false">'Zoning Research'!AI85</f>
        <v>AI Estimate</v>
      </c>
      <c r="N85" s="2" t="n">
        <v>75</v>
      </c>
      <c r="O85" s="2" t="n">
        <v>100</v>
      </c>
      <c r="P85" s="2" t="n">
        <f aca="false">IF(J85="","",J85-AVERAGE(N85,O85))</f>
        <v>2.5</v>
      </c>
    </row>
    <row r="86" customFormat="false" ht="15" hidden="false" customHeight="false" outlineLevel="0" collapsed="false">
      <c r="A86" s="2" t="s">
        <v>125</v>
      </c>
      <c r="B86" s="2" t="s">
        <v>12</v>
      </c>
      <c r="C86" s="3" t="n">
        <v>23000</v>
      </c>
      <c r="D86" s="2" t="s">
        <v>403</v>
      </c>
      <c r="E86" s="6" t="n">
        <f aca="false">'Zoning Research'!G86</f>
        <v>0</v>
      </c>
      <c r="F86" s="6" t="n">
        <f aca="false">'Zoning Research'!Q86</f>
        <v>0</v>
      </c>
      <c r="G86" s="6" t="n">
        <f aca="false">'Zoning Research'!V86</f>
        <v>0</v>
      </c>
      <c r="H86" s="6" t="n">
        <f aca="false">'Zoning Research'!Z86</f>
        <v>0</v>
      </c>
      <c r="I86" s="6" t="n">
        <f aca="false">'Zoning Research'!AE86</f>
        <v>0</v>
      </c>
      <c r="J86" s="12" t="n">
        <f aca="false">'Zoning Research'!AF86</f>
        <v>0</v>
      </c>
      <c r="K86" s="6" t="n">
        <f aca="false">'Zoning Research'!AG86</f>
        <v>0</v>
      </c>
      <c r="L86" s="6" t="n">
        <f aca="false">'Zoning Research'!AH86</f>
        <v>0</v>
      </c>
      <c r="M86" s="6" t="n">
        <f aca="false">'Zoning Research'!AI86</f>
        <v>0</v>
      </c>
      <c r="N86" s="6"/>
      <c r="O86" s="6"/>
      <c r="P86" s="6"/>
    </row>
    <row r="87" customFormat="false" ht="15" hidden="false" customHeight="false" outlineLevel="0" collapsed="false">
      <c r="A87" s="2" t="s">
        <v>126</v>
      </c>
      <c r="B87" s="2" t="s">
        <v>12</v>
      </c>
      <c r="C87" s="3" t="n">
        <v>23000</v>
      </c>
      <c r="D87" s="2" t="s">
        <v>403</v>
      </c>
      <c r="E87" s="6" t="n">
        <f aca="false">'Zoning Research'!G87</f>
        <v>0</v>
      </c>
      <c r="F87" s="6" t="n">
        <f aca="false">'Zoning Research'!Q87</f>
        <v>0</v>
      </c>
      <c r="G87" s="6" t="n">
        <f aca="false">'Zoning Research'!V87</f>
        <v>0</v>
      </c>
      <c r="H87" s="6" t="n">
        <f aca="false">'Zoning Research'!Z87</f>
        <v>0</v>
      </c>
      <c r="I87" s="6" t="n">
        <f aca="false">'Zoning Research'!AE87</f>
        <v>0</v>
      </c>
      <c r="J87" s="12" t="n">
        <f aca="false">'Zoning Research'!AF87</f>
        <v>0</v>
      </c>
      <c r="K87" s="6" t="n">
        <f aca="false">'Zoning Research'!AG87</f>
        <v>0</v>
      </c>
      <c r="L87" s="6" t="n">
        <f aca="false">'Zoning Research'!AH87</f>
        <v>0</v>
      </c>
      <c r="M87" s="6" t="n">
        <f aca="false">'Zoning Research'!AI87</f>
        <v>0</v>
      </c>
      <c r="N87" s="6"/>
      <c r="O87" s="6"/>
      <c r="P87" s="6"/>
    </row>
    <row r="88" customFormat="false" ht="15" hidden="false" customHeight="false" outlineLevel="0" collapsed="false">
      <c r="A88" s="2" t="s">
        <v>127</v>
      </c>
      <c r="B88" s="2" t="s">
        <v>12</v>
      </c>
      <c r="C88" s="3" t="n">
        <v>23000</v>
      </c>
      <c r="D88" s="2" t="s">
        <v>403</v>
      </c>
      <c r="E88" s="6" t="n">
        <f aca="false">'Zoning Research'!G88</f>
        <v>0</v>
      </c>
      <c r="F88" s="6" t="n">
        <f aca="false">'Zoning Research'!Q88</f>
        <v>0</v>
      </c>
      <c r="G88" s="6" t="n">
        <f aca="false">'Zoning Research'!V88</f>
        <v>0</v>
      </c>
      <c r="H88" s="6" t="n">
        <f aca="false">'Zoning Research'!Z88</f>
        <v>0</v>
      </c>
      <c r="I88" s="6" t="n">
        <f aca="false">'Zoning Research'!AE88</f>
        <v>0</v>
      </c>
      <c r="J88" s="12" t="n">
        <f aca="false">'Zoning Research'!AF88</f>
        <v>0</v>
      </c>
      <c r="K88" s="6" t="n">
        <f aca="false">'Zoning Research'!AG88</f>
        <v>0</v>
      </c>
      <c r="L88" s="6" t="n">
        <f aca="false">'Zoning Research'!AH88</f>
        <v>0</v>
      </c>
      <c r="M88" s="6" t="n">
        <f aca="false">'Zoning Research'!AI88</f>
        <v>0</v>
      </c>
      <c r="N88" s="6"/>
      <c r="O88" s="6"/>
      <c r="P88" s="6"/>
    </row>
    <row r="89" customFormat="false" ht="15" hidden="false" customHeight="false" outlineLevel="0" collapsed="false">
      <c r="A89" s="2" t="s">
        <v>128</v>
      </c>
      <c r="B89" s="2" t="s">
        <v>12</v>
      </c>
      <c r="C89" s="3" t="n">
        <v>23000</v>
      </c>
      <c r="D89" s="2" t="s">
        <v>403</v>
      </c>
      <c r="E89" s="6" t="n">
        <f aca="false">'Zoning Research'!G89</f>
        <v>20</v>
      </c>
      <c r="F89" s="6" t="n">
        <f aca="false">'Zoning Research'!Q89</f>
        <v>20</v>
      </c>
      <c r="G89" s="6" t="n">
        <f aca="false">'Zoning Research'!V89</f>
        <v>20</v>
      </c>
      <c r="H89" s="6" t="n">
        <f aca="false">'Zoning Research'!Z89</f>
        <v>20</v>
      </c>
      <c r="I89" s="6" t="n">
        <f aca="false">'Zoning Research'!AE89</f>
        <v>20</v>
      </c>
      <c r="J89" s="12" t="n">
        <f aca="false">'Zoning Research'!AF89</f>
        <v>100</v>
      </c>
      <c r="K89" s="6" t="n">
        <f aca="false">'Zoning Research'!AG89</f>
        <v>0</v>
      </c>
      <c r="L89" s="6" t="n">
        <f aca="false">'Zoning Research'!AH89</f>
        <v>0</v>
      </c>
      <c r="M89" s="6" t="str">
        <f aca="false">'Zoning Research'!AI89</f>
        <v>AI Estimate</v>
      </c>
      <c r="N89" s="2" t="n">
        <v>100</v>
      </c>
      <c r="O89" s="2" t="n">
        <v>100</v>
      </c>
      <c r="P89" s="2" t="n">
        <f aca="false">IF(J89="","",J89-AVERAGE(N89,O89))</f>
        <v>0</v>
      </c>
    </row>
    <row r="90" customFormat="false" ht="15" hidden="false" customHeight="false" outlineLevel="0" collapsed="false">
      <c r="A90" s="2" t="s">
        <v>129</v>
      </c>
      <c r="B90" s="2" t="s">
        <v>12</v>
      </c>
      <c r="C90" s="3" t="n">
        <v>23000</v>
      </c>
      <c r="D90" s="2" t="s">
        <v>403</v>
      </c>
      <c r="E90" s="6" t="n">
        <f aca="false">'Zoning Research'!G90</f>
        <v>20</v>
      </c>
      <c r="F90" s="6" t="n">
        <f aca="false">'Zoning Research'!Q90</f>
        <v>20</v>
      </c>
      <c r="G90" s="6" t="n">
        <f aca="false">'Zoning Research'!V90</f>
        <v>20</v>
      </c>
      <c r="H90" s="6" t="n">
        <f aca="false">'Zoning Research'!Z90</f>
        <v>20</v>
      </c>
      <c r="I90" s="6" t="n">
        <f aca="false">'Zoning Research'!AE90</f>
        <v>20</v>
      </c>
      <c r="J90" s="12" t="n">
        <f aca="false">'Zoning Research'!AF90</f>
        <v>100</v>
      </c>
      <c r="K90" s="6" t="n">
        <f aca="false">'Zoning Research'!AG90</f>
        <v>0</v>
      </c>
      <c r="L90" s="6" t="n">
        <f aca="false">'Zoning Research'!AH90</f>
        <v>0</v>
      </c>
      <c r="M90" s="6" t="str">
        <f aca="false">'Zoning Research'!AI90</f>
        <v>AI Estimate</v>
      </c>
      <c r="N90" s="2" t="n">
        <v>100</v>
      </c>
      <c r="O90" s="2" t="n">
        <v>100</v>
      </c>
      <c r="P90" s="2" t="n">
        <f aca="false">IF(J90="","",J90-AVERAGE(N90,O90))</f>
        <v>0</v>
      </c>
    </row>
    <row r="91" customFormat="false" ht="15" hidden="false" customHeight="false" outlineLevel="0" collapsed="false">
      <c r="A91" s="2" t="s">
        <v>130</v>
      </c>
      <c r="B91" s="2" t="s">
        <v>12</v>
      </c>
      <c r="C91" s="3" t="n">
        <v>22000</v>
      </c>
      <c r="D91" s="2" t="s">
        <v>403</v>
      </c>
      <c r="E91" s="6" t="n">
        <f aca="false">'Zoning Research'!G91</f>
        <v>0</v>
      </c>
      <c r="F91" s="6" t="n">
        <f aca="false">'Zoning Research'!Q91</f>
        <v>0</v>
      </c>
      <c r="G91" s="6" t="n">
        <f aca="false">'Zoning Research'!V91</f>
        <v>0</v>
      </c>
      <c r="H91" s="6" t="n">
        <f aca="false">'Zoning Research'!Z91</f>
        <v>0</v>
      </c>
      <c r="I91" s="6" t="n">
        <f aca="false">'Zoning Research'!AE91</f>
        <v>0</v>
      </c>
      <c r="J91" s="12" t="n">
        <f aca="false">'Zoning Research'!AF91</f>
        <v>0</v>
      </c>
      <c r="K91" s="6" t="n">
        <f aca="false">'Zoning Research'!AG91</f>
        <v>0</v>
      </c>
      <c r="L91" s="6" t="n">
        <f aca="false">'Zoning Research'!AH91</f>
        <v>0</v>
      </c>
      <c r="M91" s="6" t="n">
        <f aca="false">'Zoning Research'!AI91</f>
        <v>0</v>
      </c>
      <c r="N91" s="6"/>
      <c r="O91" s="6"/>
      <c r="P91" s="6"/>
    </row>
    <row r="92" customFormat="false" ht="15" hidden="false" customHeight="false" outlineLevel="0" collapsed="false">
      <c r="A92" s="2" t="s">
        <v>131</v>
      </c>
      <c r="B92" s="2" t="s">
        <v>12</v>
      </c>
      <c r="C92" s="3" t="n">
        <v>22000</v>
      </c>
      <c r="D92" s="2" t="s">
        <v>403</v>
      </c>
      <c r="E92" s="6" t="n">
        <f aca="false">'Zoning Research'!G92</f>
        <v>0</v>
      </c>
      <c r="F92" s="6" t="n">
        <f aca="false">'Zoning Research'!Q92</f>
        <v>0</v>
      </c>
      <c r="G92" s="6" t="n">
        <f aca="false">'Zoning Research'!V92</f>
        <v>0</v>
      </c>
      <c r="H92" s="6" t="n">
        <f aca="false">'Zoning Research'!Z92</f>
        <v>0</v>
      </c>
      <c r="I92" s="6" t="n">
        <f aca="false">'Zoning Research'!AE92</f>
        <v>0</v>
      </c>
      <c r="J92" s="12" t="n">
        <f aca="false">'Zoning Research'!AF92</f>
        <v>0</v>
      </c>
      <c r="K92" s="6" t="n">
        <f aca="false">'Zoning Research'!AG92</f>
        <v>0</v>
      </c>
      <c r="L92" s="6" t="n">
        <f aca="false">'Zoning Research'!AH92</f>
        <v>0</v>
      </c>
      <c r="M92" s="6" t="n">
        <f aca="false">'Zoning Research'!AI92</f>
        <v>0</v>
      </c>
      <c r="N92" s="6"/>
      <c r="O92" s="6"/>
      <c r="P92" s="6"/>
    </row>
    <row r="93" customFormat="false" ht="15" hidden="false" customHeight="false" outlineLevel="0" collapsed="false">
      <c r="A93" s="2" t="s">
        <v>132</v>
      </c>
      <c r="B93" s="2" t="s">
        <v>12</v>
      </c>
      <c r="C93" s="3" t="n">
        <v>22000</v>
      </c>
      <c r="D93" s="2" t="s">
        <v>403</v>
      </c>
      <c r="E93" s="6" t="n">
        <f aca="false">'Zoning Research'!G93</f>
        <v>16</v>
      </c>
      <c r="F93" s="6" t="n">
        <f aca="false">'Zoning Research'!Q93</f>
        <v>16</v>
      </c>
      <c r="G93" s="6" t="n">
        <f aca="false">'Zoning Research'!V93</f>
        <v>16</v>
      </c>
      <c r="H93" s="6" t="n">
        <f aca="false">'Zoning Research'!Z93</f>
        <v>16</v>
      </c>
      <c r="I93" s="6" t="n">
        <f aca="false">'Zoning Research'!AE93</f>
        <v>16</v>
      </c>
      <c r="J93" s="12" t="n">
        <f aca="false">'Zoning Research'!AF93</f>
        <v>80</v>
      </c>
      <c r="K93" s="6" t="n">
        <f aca="false">'Zoning Research'!AG93</f>
        <v>0</v>
      </c>
      <c r="L93" s="6" t="n">
        <f aca="false">'Zoning Research'!AH93</f>
        <v>0</v>
      </c>
      <c r="M93" s="6" t="str">
        <f aca="false">'Zoning Research'!AI93</f>
        <v>AI Estimate</v>
      </c>
      <c r="N93" s="2" t="n">
        <v>65</v>
      </c>
      <c r="O93" s="2" t="n">
        <v>100</v>
      </c>
      <c r="P93" s="2" t="n">
        <f aca="false">IF(J93="","",J93-AVERAGE(N93,O93))</f>
        <v>-2.5</v>
      </c>
    </row>
    <row r="94" customFormat="false" ht="15" hidden="false" customHeight="false" outlineLevel="0" collapsed="false">
      <c r="A94" s="2" t="s">
        <v>133</v>
      </c>
      <c r="B94" s="2" t="s">
        <v>12</v>
      </c>
      <c r="C94" s="3" t="n">
        <v>22000</v>
      </c>
      <c r="D94" s="2" t="s">
        <v>403</v>
      </c>
      <c r="E94" s="6" t="n">
        <f aca="false">'Zoning Research'!G94</f>
        <v>20</v>
      </c>
      <c r="F94" s="6" t="n">
        <f aca="false">'Zoning Research'!Q94</f>
        <v>20</v>
      </c>
      <c r="G94" s="6" t="n">
        <f aca="false">'Zoning Research'!V94</f>
        <v>20</v>
      </c>
      <c r="H94" s="6" t="n">
        <f aca="false">'Zoning Research'!Z94</f>
        <v>20</v>
      </c>
      <c r="I94" s="6" t="n">
        <f aca="false">'Zoning Research'!AE94</f>
        <v>20</v>
      </c>
      <c r="J94" s="12" t="n">
        <f aca="false">'Zoning Research'!AF94</f>
        <v>100</v>
      </c>
      <c r="K94" s="6" t="n">
        <f aca="false">'Zoning Research'!AG94</f>
        <v>0</v>
      </c>
      <c r="L94" s="6" t="n">
        <f aca="false">'Zoning Research'!AH94</f>
        <v>0</v>
      </c>
      <c r="M94" s="6" t="str">
        <f aca="false">'Zoning Research'!AI94</f>
        <v>AI Estimate</v>
      </c>
      <c r="N94" s="2" t="n">
        <v>100</v>
      </c>
      <c r="O94" s="2" t="n">
        <v>100</v>
      </c>
      <c r="P94" s="2" t="n">
        <f aca="false">IF(J94="","",J94-AVERAGE(N94,O94))</f>
        <v>0</v>
      </c>
    </row>
    <row r="95" customFormat="false" ht="15" hidden="false" customHeight="false" outlineLevel="0" collapsed="false">
      <c r="A95" s="2" t="s">
        <v>134</v>
      </c>
      <c r="B95" s="2" t="s">
        <v>12</v>
      </c>
      <c r="C95" s="3" t="n">
        <v>22000</v>
      </c>
      <c r="D95" s="2" t="s">
        <v>403</v>
      </c>
      <c r="E95" s="6" t="n">
        <f aca="false">'Zoning Research'!G95</f>
        <v>20</v>
      </c>
      <c r="F95" s="6" t="n">
        <f aca="false">'Zoning Research'!Q95</f>
        <v>20</v>
      </c>
      <c r="G95" s="6" t="n">
        <f aca="false">'Zoning Research'!V95</f>
        <v>20</v>
      </c>
      <c r="H95" s="6" t="n">
        <f aca="false">'Zoning Research'!Z95</f>
        <v>20</v>
      </c>
      <c r="I95" s="6" t="n">
        <f aca="false">'Zoning Research'!AE95</f>
        <v>20</v>
      </c>
      <c r="J95" s="12" t="n">
        <f aca="false">'Zoning Research'!AF95</f>
        <v>100</v>
      </c>
      <c r="K95" s="6" t="n">
        <f aca="false">'Zoning Research'!AG95</f>
        <v>0</v>
      </c>
      <c r="L95" s="6" t="n">
        <f aca="false">'Zoning Research'!AH95</f>
        <v>0</v>
      </c>
      <c r="M95" s="6" t="str">
        <f aca="false">'Zoning Research'!AI95</f>
        <v>AI Estimate</v>
      </c>
      <c r="N95" s="2" t="n">
        <v>100</v>
      </c>
      <c r="O95" s="2" t="n">
        <v>100</v>
      </c>
      <c r="P95" s="2" t="n">
        <f aca="false">IF(J95="","",J95-AVERAGE(N95,O95))</f>
        <v>0</v>
      </c>
    </row>
    <row r="96" customFormat="false" ht="15" hidden="false" customHeight="false" outlineLevel="0" collapsed="false">
      <c r="A96" s="2" t="s">
        <v>135</v>
      </c>
      <c r="B96" s="2" t="s">
        <v>12</v>
      </c>
      <c r="C96" s="3" t="n">
        <v>22000</v>
      </c>
      <c r="D96" s="2" t="s">
        <v>403</v>
      </c>
      <c r="E96" s="6" t="n">
        <f aca="false">'Zoning Research'!G96</f>
        <v>0</v>
      </c>
      <c r="F96" s="6" t="n">
        <f aca="false">'Zoning Research'!Q96</f>
        <v>0</v>
      </c>
      <c r="G96" s="6" t="n">
        <f aca="false">'Zoning Research'!V96</f>
        <v>0</v>
      </c>
      <c r="H96" s="6" t="n">
        <f aca="false">'Zoning Research'!Z96</f>
        <v>0</v>
      </c>
      <c r="I96" s="6" t="n">
        <f aca="false">'Zoning Research'!AE96</f>
        <v>0</v>
      </c>
      <c r="J96" s="12" t="n">
        <f aca="false">'Zoning Research'!AF96</f>
        <v>0</v>
      </c>
      <c r="K96" s="6" t="n">
        <f aca="false">'Zoning Research'!AG96</f>
        <v>0</v>
      </c>
      <c r="L96" s="6" t="n">
        <f aca="false">'Zoning Research'!AH96</f>
        <v>0</v>
      </c>
      <c r="M96" s="6" t="n">
        <f aca="false">'Zoning Research'!AI96</f>
        <v>0</v>
      </c>
      <c r="N96" s="6"/>
      <c r="O96" s="6"/>
      <c r="P96" s="6"/>
    </row>
    <row r="97" customFormat="false" ht="15" hidden="false" customHeight="false" outlineLevel="0" collapsed="false">
      <c r="A97" s="2" t="s">
        <v>137</v>
      </c>
      <c r="B97" s="2" t="s">
        <v>12</v>
      </c>
      <c r="C97" s="3" t="n">
        <v>21500</v>
      </c>
      <c r="D97" s="2" t="s">
        <v>403</v>
      </c>
      <c r="E97" s="6" t="n">
        <f aca="false">'Zoning Research'!G97</f>
        <v>20</v>
      </c>
      <c r="F97" s="6" t="n">
        <f aca="false">'Zoning Research'!Q97</f>
        <v>20</v>
      </c>
      <c r="G97" s="6" t="n">
        <f aca="false">'Zoning Research'!V97</f>
        <v>20</v>
      </c>
      <c r="H97" s="6" t="n">
        <f aca="false">'Zoning Research'!Z97</f>
        <v>20</v>
      </c>
      <c r="I97" s="6" t="n">
        <f aca="false">'Zoning Research'!AE97</f>
        <v>20</v>
      </c>
      <c r="J97" s="12" t="n">
        <f aca="false">'Zoning Research'!AF97</f>
        <v>100</v>
      </c>
      <c r="K97" s="6" t="n">
        <f aca="false">'Zoning Research'!AG97</f>
        <v>0</v>
      </c>
      <c r="L97" s="6" t="n">
        <f aca="false">'Zoning Research'!AH97</f>
        <v>0</v>
      </c>
      <c r="M97" s="6" t="str">
        <f aca="false">'Zoning Research'!AI97</f>
        <v>AI Estimate</v>
      </c>
      <c r="N97" s="2" t="n">
        <v>100</v>
      </c>
      <c r="O97" s="2" t="n">
        <v>100</v>
      </c>
      <c r="P97" s="2" t="n">
        <f aca="false">IF(J97="","",J97-AVERAGE(N97,O97))</f>
        <v>0</v>
      </c>
    </row>
    <row r="98" customFormat="false" ht="15" hidden="false" customHeight="false" outlineLevel="0" collapsed="false">
      <c r="A98" s="2" t="s">
        <v>138</v>
      </c>
      <c r="B98" s="2" t="s">
        <v>12</v>
      </c>
      <c r="C98" s="3" t="n">
        <v>21000</v>
      </c>
      <c r="D98" s="2" t="s">
        <v>403</v>
      </c>
      <c r="E98" s="6" t="n">
        <f aca="false">'Zoning Research'!G98</f>
        <v>20</v>
      </c>
      <c r="F98" s="6" t="n">
        <f aca="false">'Zoning Research'!Q98</f>
        <v>20</v>
      </c>
      <c r="G98" s="6" t="n">
        <f aca="false">'Zoning Research'!V98</f>
        <v>20</v>
      </c>
      <c r="H98" s="6" t="n">
        <f aca="false">'Zoning Research'!Z98</f>
        <v>20</v>
      </c>
      <c r="I98" s="6" t="n">
        <f aca="false">'Zoning Research'!AE98</f>
        <v>20</v>
      </c>
      <c r="J98" s="12" t="n">
        <f aca="false">'Zoning Research'!AF98</f>
        <v>100</v>
      </c>
      <c r="K98" s="6" t="n">
        <f aca="false">'Zoning Research'!AG98</f>
        <v>0</v>
      </c>
      <c r="L98" s="6" t="n">
        <f aca="false">'Zoning Research'!AH98</f>
        <v>0</v>
      </c>
      <c r="M98" s="6" t="str">
        <f aca="false">'Zoning Research'!AI98</f>
        <v>AI Estimate</v>
      </c>
      <c r="N98" s="2" t="n">
        <v>100</v>
      </c>
      <c r="O98" s="2" t="n">
        <v>100</v>
      </c>
      <c r="P98" s="2" t="n">
        <f aca="false">IF(J98="","",J98-AVERAGE(N98,O98))</f>
        <v>0</v>
      </c>
    </row>
    <row r="99" customFormat="false" ht="15" hidden="false" customHeight="false" outlineLevel="0" collapsed="false">
      <c r="A99" s="2" t="s">
        <v>139</v>
      </c>
      <c r="B99" s="2" t="s">
        <v>12</v>
      </c>
      <c r="C99" s="3" t="n">
        <v>21000</v>
      </c>
      <c r="D99" s="2" t="s">
        <v>403</v>
      </c>
      <c r="E99" s="6" t="n">
        <f aca="false">'Zoning Research'!G99</f>
        <v>20</v>
      </c>
      <c r="F99" s="6" t="n">
        <f aca="false">'Zoning Research'!Q99</f>
        <v>20</v>
      </c>
      <c r="G99" s="6" t="n">
        <f aca="false">'Zoning Research'!V99</f>
        <v>20</v>
      </c>
      <c r="H99" s="6" t="n">
        <f aca="false">'Zoning Research'!Z99</f>
        <v>20</v>
      </c>
      <c r="I99" s="6" t="n">
        <f aca="false">'Zoning Research'!AE99</f>
        <v>20</v>
      </c>
      <c r="J99" s="12" t="n">
        <f aca="false">'Zoning Research'!AF99</f>
        <v>100</v>
      </c>
      <c r="K99" s="6" t="n">
        <f aca="false">'Zoning Research'!AG99</f>
        <v>0</v>
      </c>
      <c r="L99" s="6" t="n">
        <f aca="false">'Zoning Research'!AH99</f>
        <v>0</v>
      </c>
      <c r="M99" s="6" t="str">
        <f aca="false">'Zoning Research'!AI99</f>
        <v>AI Estimate</v>
      </c>
      <c r="N99" s="2" t="n">
        <v>100</v>
      </c>
      <c r="O99" s="2" t="n">
        <v>100</v>
      </c>
      <c r="P99" s="2" t="n">
        <f aca="false">IF(J99="","",J99-AVERAGE(N99,O99))</f>
        <v>0</v>
      </c>
    </row>
    <row r="100" customFormat="false" ht="15" hidden="false" customHeight="false" outlineLevel="0" collapsed="false">
      <c r="A100" s="2" t="s">
        <v>140</v>
      </c>
      <c r="B100" s="2" t="s">
        <v>12</v>
      </c>
      <c r="C100" s="3" t="n">
        <v>21000</v>
      </c>
      <c r="D100" s="2" t="s">
        <v>403</v>
      </c>
      <c r="E100" s="6" t="n">
        <f aca="false">'Zoning Research'!G100</f>
        <v>0</v>
      </c>
      <c r="F100" s="6" t="n">
        <f aca="false">'Zoning Research'!Q100</f>
        <v>0</v>
      </c>
      <c r="G100" s="6" t="n">
        <f aca="false">'Zoning Research'!V100</f>
        <v>0</v>
      </c>
      <c r="H100" s="6" t="n">
        <f aca="false">'Zoning Research'!Z100</f>
        <v>0</v>
      </c>
      <c r="I100" s="6" t="n">
        <f aca="false">'Zoning Research'!AE100</f>
        <v>0</v>
      </c>
      <c r="J100" s="12" t="n">
        <f aca="false">'Zoning Research'!AF100</f>
        <v>0</v>
      </c>
      <c r="K100" s="6" t="n">
        <f aca="false">'Zoning Research'!AG100</f>
        <v>0</v>
      </c>
      <c r="L100" s="6" t="n">
        <f aca="false">'Zoning Research'!AH100</f>
        <v>0</v>
      </c>
      <c r="M100" s="6" t="n">
        <f aca="false">'Zoning Research'!AI100</f>
        <v>0</v>
      </c>
      <c r="N100" s="6"/>
      <c r="O100" s="6"/>
      <c r="P100" s="6"/>
    </row>
    <row r="101" customFormat="false" ht="15" hidden="false" customHeight="false" outlineLevel="0" collapsed="false">
      <c r="A101" s="2" t="s">
        <v>141</v>
      </c>
      <c r="B101" s="2" t="s">
        <v>12</v>
      </c>
      <c r="C101" s="3" t="n">
        <v>20000</v>
      </c>
      <c r="D101" s="2" t="s">
        <v>403</v>
      </c>
      <c r="E101" s="6" t="n">
        <f aca="false">'Zoning Research'!G101</f>
        <v>16</v>
      </c>
      <c r="F101" s="6" t="n">
        <f aca="false">'Zoning Research'!Q101</f>
        <v>16</v>
      </c>
      <c r="G101" s="6" t="n">
        <f aca="false">'Zoning Research'!V101</f>
        <v>16</v>
      </c>
      <c r="H101" s="6" t="n">
        <f aca="false">'Zoning Research'!Z101</f>
        <v>16</v>
      </c>
      <c r="I101" s="6" t="n">
        <f aca="false">'Zoning Research'!AE101</f>
        <v>16</v>
      </c>
      <c r="J101" s="12" t="n">
        <f aca="false">'Zoning Research'!AF101</f>
        <v>80</v>
      </c>
      <c r="K101" s="6" t="n">
        <f aca="false">'Zoning Research'!AG101</f>
        <v>0</v>
      </c>
      <c r="L101" s="6" t="n">
        <f aca="false">'Zoning Research'!AH101</f>
        <v>0</v>
      </c>
      <c r="M101" s="6" t="str">
        <f aca="false">'Zoning Research'!AI101</f>
        <v>AI Estimate</v>
      </c>
      <c r="N101" s="2" t="n">
        <v>65</v>
      </c>
      <c r="O101" s="2" t="n">
        <v>100</v>
      </c>
      <c r="P101" s="2" t="n">
        <f aca="false">IF(J101="","",J101-AVERAGE(N101,O101))</f>
        <v>-2.5</v>
      </c>
    </row>
    <row r="102" customFormat="false" ht="15" hidden="false" customHeight="false" outlineLevel="0" collapsed="false">
      <c r="A102" s="2" t="s">
        <v>142</v>
      </c>
      <c r="B102" s="2" t="s">
        <v>12</v>
      </c>
      <c r="C102" s="3" t="n">
        <v>20000</v>
      </c>
      <c r="D102" s="2" t="s">
        <v>403</v>
      </c>
      <c r="E102" s="6" t="n">
        <f aca="false">'Zoning Research'!G102</f>
        <v>0</v>
      </c>
      <c r="F102" s="6" t="n">
        <f aca="false">'Zoning Research'!Q102</f>
        <v>0</v>
      </c>
      <c r="G102" s="6" t="n">
        <f aca="false">'Zoning Research'!V102</f>
        <v>0</v>
      </c>
      <c r="H102" s="6" t="n">
        <f aca="false">'Zoning Research'!Z102</f>
        <v>0</v>
      </c>
      <c r="I102" s="6" t="n">
        <f aca="false">'Zoning Research'!AE102</f>
        <v>0</v>
      </c>
      <c r="J102" s="12" t="n">
        <f aca="false">'Zoning Research'!AF102</f>
        <v>0</v>
      </c>
      <c r="K102" s="6" t="n">
        <f aca="false">'Zoning Research'!AG102</f>
        <v>0</v>
      </c>
      <c r="L102" s="6" t="n">
        <f aca="false">'Zoning Research'!AH102</f>
        <v>0</v>
      </c>
      <c r="M102" s="6" t="n">
        <f aca="false">'Zoning Research'!AI102</f>
        <v>0</v>
      </c>
      <c r="N102" s="6"/>
      <c r="O102" s="6"/>
      <c r="P102" s="6"/>
    </row>
    <row r="103" customFormat="false" ht="15" hidden="false" customHeight="false" outlineLevel="0" collapsed="false">
      <c r="A103" s="2" t="s">
        <v>143</v>
      </c>
      <c r="B103" s="2" t="s">
        <v>12</v>
      </c>
      <c r="C103" s="3" t="n">
        <v>20000</v>
      </c>
      <c r="D103" s="2" t="s">
        <v>403</v>
      </c>
      <c r="E103" s="6" t="n">
        <f aca="false">'Zoning Research'!G103</f>
        <v>0</v>
      </c>
      <c r="F103" s="6" t="n">
        <f aca="false">'Zoning Research'!Q103</f>
        <v>0</v>
      </c>
      <c r="G103" s="6" t="n">
        <f aca="false">'Zoning Research'!V103</f>
        <v>0</v>
      </c>
      <c r="H103" s="6" t="n">
        <f aca="false">'Zoning Research'!Z103</f>
        <v>0</v>
      </c>
      <c r="I103" s="6" t="n">
        <f aca="false">'Zoning Research'!AE103</f>
        <v>0</v>
      </c>
      <c r="J103" s="12" t="n">
        <f aca="false">'Zoning Research'!AF103</f>
        <v>0</v>
      </c>
      <c r="K103" s="6" t="n">
        <f aca="false">'Zoning Research'!AG103</f>
        <v>0</v>
      </c>
      <c r="L103" s="6" t="n">
        <f aca="false">'Zoning Research'!AH103</f>
        <v>0</v>
      </c>
      <c r="M103" s="6" t="n">
        <f aca="false">'Zoning Research'!AI103</f>
        <v>0</v>
      </c>
      <c r="N103" s="6"/>
      <c r="O103" s="6"/>
      <c r="P103" s="6"/>
    </row>
    <row r="104" customFormat="false" ht="15" hidden="false" customHeight="false" outlineLevel="0" collapsed="false">
      <c r="A104" s="2" t="s">
        <v>144</v>
      </c>
      <c r="B104" s="2" t="s">
        <v>12</v>
      </c>
      <c r="C104" s="3" t="n">
        <v>19000</v>
      </c>
      <c r="D104" s="2" t="s">
        <v>403</v>
      </c>
      <c r="E104" s="6" t="n">
        <f aca="false">'Zoning Research'!G104</f>
        <v>16</v>
      </c>
      <c r="F104" s="6" t="n">
        <f aca="false">'Zoning Research'!Q104</f>
        <v>16</v>
      </c>
      <c r="G104" s="6" t="n">
        <f aca="false">'Zoning Research'!V104</f>
        <v>16</v>
      </c>
      <c r="H104" s="6" t="n">
        <f aca="false">'Zoning Research'!Z104</f>
        <v>16</v>
      </c>
      <c r="I104" s="6" t="n">
        <f aca="false">'Zoning Research'!AE104</f>
        <v>16</v>
      </c>
      <c r="J104" s="12" t="n">
        <f aca="false">'Zoning Research'!AF104</f>
        <v>80</v>
      </c>
      <c r="K104" s="6" t="n">
        <f aca="false">'Zoning Research'!AG104</f>
        <v>0</v>
      </c>
      <c r="L104" s="6" t="n">
        <f aca="false">'Zoning Research'!AH104</f>
        <v>0</v>
      </c>
      <c r="M104" s="6" t="str">
        <f aca="false">'Zoning Research'!AI104</f>
        <v>AI Estimate</v>
      </c>
      <c r="N104" s="2" t="n">
        <v>65</v>
      </c>
      <c r="O104" s="2" t="n">
        <v>100</v>
      </c>
      <c r="P104" s="2" t="n">
        <f aca="false">IF(J104="","",J104-AVERAGE(N104,O104))</f>
        <v>-2.5</v>
      </c>
    </row>
    <row r="105" customFormat="false" ht="15" hidden="false" customHeight="false" outlineLevel="0" collapsed="false">
      <c r="A105" s="2" t="s">
        <v>145</v>
      </c>
      <c r="B105" s="2" t="s">
        <v>12</v>
      </c>
      <c r="C105" s="3" t="n">
        <v>19000</v>
      </c>
      <c r="D105" s="2" t="s">
        <v>403</v>
      </c>
      <c r="E105" s="6" t="n">
        <f aca="false">'Zoning Research'!G105</f>
        <v>16</v>
      </c>
      <c r="F105" s="6" t="n">
        <f aca="false">'Zoning Research'!Q105</f>
        <v>16</v>
      </c>
      <c r="G105" s="6" t="n">
        <f aca="false">'Zoning Research'!V105</f>
        <v>16</v>
      </c>
      <c r="H105" s="6" t="n">
        <f aca="false">'Zoning Research'!Z105</f>
        <v>16</v>
      </c>
      <c r="I105" s="6" t="n">
        <f aca="false">'Zoning Research'!AE105</f>
        <v>16</v>
      </c>
      <c r="J105" s="12" t="n">
        <f aca="false">'Zoning Research'!AF105</f>
        <v>80</v>
      </c>
      <c r="K105" s="6" t="n">
        <f aca="false">'Zoning Research'!AG105</f>
        <v>0</v>
      </c>
      <c r="L105" s="6" t="n">
        <f aca="false">'Zoning Research'!AH105</f>
        <v>0</v>
      </c>
      <c r="M105" s="6" t="str">
        <f aca="false">'Zoning Research'!AI105</f>
        <v>AI Estimate</v>
      </c>
      <c r="N105" s="2" t="n">
        <v>65</v>
      </c>
      <c r="O105" s="2" t="n">
        <v>100</v>
      </c>
      <c r="P105" s="2" t="n">
        <f aca="false">IF(J105="","",J105-AVERAGE(N105,O105))</f>
        <v>-2.5</v>
      </c>
    </row>
    <row r="106" customFormat="false" ht="15" hidden="false" customHeight="false" outlineLevel="0" collapsed="false">
      <c r="A106" s="2" t="s">
        <v>146</v>
      </c>
      <c r="B106" s="2" t="s">
        <v>12</v>
      </c>
      <c r="C106" s="3" t="n">
        <v>19000</v>
      </c>
      <c r="D106" s="2" t="s">
        <v>403</v>
      </c>
      <c r="E106" s="6" t="n">
        <f aca="false">'Zoning Research'!G106</f>
        <v>0</v>
      </c>
      <c r="F106" s="6" t="n">
        <f aca="false">'Zoning Research'!Q106</f>
        <v>0</v>
      </c>
      <c r="G106" s="6" t="n">
        <f aca="false">'Zoning Research'!V106</f>
        <v>0</v>
      </c>
      <c r="H106" s="6" t="n">
        <f aca="false">'Zoning Research'!Z106</f>
        <v>0</v>
      </c>
      <c r="I106" s="6" t="n">
        <f aca="false">'Zoning Research'!AE106</f>
        <v>0</v>
      </c>
      <c r="J106" s="12" t="n">
        <f aca="false">'Zoning Research'!AF106</f>
        <v>0</v>
      </c>
      <c r="K106" s="6" t="n">
        <f aca="false">'Zoning Research'!AG106</f>
        <v>0</v>
      </c>
      <c r="L106" s="6" t="n">
        <f aca="false">'Zoning Research'!AH106</f>
        <v>0</v>
      </c>
      <c r="M106" s="6" t="n">
        <f aca="false">'Zoning Research'!AI106</f>
        <v>0</v>
      </c>
      <c r="N106" s="6"/>
      <c r="O106" s="6"/>
      <c r="P106" s="6"/>
    </row>
    <row r="107" customFormat="false" ht="15" hidden="false" customHeight="false" outlineLevel="0" collapsed="false">
      <c r="A107" s="2" t="s">
        <v>147</v>
      </c>
      <c r="B107" s="2" t="s">
        <v>12</v>
      </c>
      <c r="C107" s="3" t="n">
        <v>19000</v>
      </c>
      <c r="D107" s="2" t="s">
        <v>403</v>
      </c>
      <c r="E107" s="6" t="n">
        <f aca="false">'Zoning Research'!G107</f>
        <v>20</v>
      </c>
      <c r="F107" s="6" t="n">
        <f aca="false">'Zoning Research'!Q107</f>
        <v>20</v>
      </c>
      <c r="G107" s="6" t="n">
        <f aca="false">'Zoning Research'!V107</f>
        <v>20</v>
      </c>
      <c r="H107" s="6" t="n">
        <f aca="false">'Zoning Research'!Z107</f>
        <v>20</v>
      </c>
      <c r="I107" s="6" t="n">
        <f aca="false">'Zoning Research'!AE107</f>
        <v>20</v>
      </c>
      <c r="J107" s="12" t="n">
        <f aca="false">'Zoning Research'!AF107</f>
        <v>100</v>
      </c>
      <c r="K107" s="6" t="n">
        <f aca="false">'Zoning Research'!AG107</f>
        <v>0</v>
      </c>
      <c r="L107" s="6" t="n">
        <f aca="false">'Zoning Research'!AH107</f>
        <v>0</v>
      </c>
      <c r="M107" s="6" t="str">
        <f aca="false">'Zoning Research'!AI107</f>
        <v>AI Estimate</v>
      </c>
      <c r="N107" s="2" t="n">
        <v>100</v>
      </c>
      <c r="O107" s="2" t="n">
        <v>100</v>
      </c>
      <c r="P107" s="2" t="n">
        <f aca="false">IF(J107="","",J107-AVERAGE(N107,O107))</f>
        <v>0</v>
      </c>
    </row>
    <row r="108" customFormat="false" ht="15" hidden="false" customHeight="false" outlineLevel="0" collapsed="false">
      <c r="A108" s="2" t="s">
        <v>148</v>
      </c>
      <c r="B108" s="2" t="s">
        <v>12</v>
      </c>
      <c r="C108" s="3" t="n">
        <v>19000</v>
      </c>
      <c r="D108" s="2" t="s">
        <v>403</v>
      </c>
      <c r="E108" s="6" t="n">
        <f aca="false">'Zoning Research'!G108</f>
        <v>20</v>
      </c>
      <c r="F108" s="6" t="n">
        <f aca="false">'Zoning Research'!Q108</f>
        <v>20</v>
      </c>
      <c r="G108" s="6" t="n">
        <f aca="false">'Zoning Research'!V108</f>
        <v>20</v>
      </c>
      <c r="H108" s="6" t="n">
        <f aca="false">'Zoning Research'!Z108</f>
        <v>20</v>
      </c>
      <c r="I108" s="6" t="n">
        <f aca="false">'Zoning Research'!AE108</f>
        <v>20</v>
      </c>
      <c r="J108" s="12" t="n">
        <f aca="false">'Zoning Research'!AF108</f>
        <v>100</v>
      </c>
      <c r="K108" s="6" t="n">
        <f aca="false">'Zoning Research'!AG108</f>
        <v>0</v>
      </c>
      <c r="L108" s="6" t="n">
        <f aca="false">'Zoning Research'!AH108</f>
        <v>0</v>
      </c>
      <c r="M108" s="6" t="str">
        <f aca="false">'Zoning Research'!AI108</f>
        <v>AI Estimate</v>
      </c>
      <c r="N108" s="2" t="n">
        <v>100</v>
      </c>
      <c r="O108" s="2" t="n">
        <v>100</v>
      </c>
      <c r="P108" s="2" t="n">
        <f aca="false">IF(J108="","",J108-AVERAGE(N108,O108))</f>
        <v>0</v>
      </c>
    </row>
    <row r="109" customFormat="false" ht="15" hidden="false" customHeight="false" outlineLevel="0" collapsed="false">
      <c r="A109" s="2" t="s">
        <v>149</v>
      </c>
      <c r="B109" s="2" t="s">
        <v>12</v>
      </c>
      <c r="C109" s="3" t="n">
        <v>18500</v>
      </c>
      <c r="D109" s="2" t="s">
        <v>403</v>
      </c>
      <c r="E109" s="6" t="n">
        <f aca="false">'Zoning Research'!G109</f>
        <v>20</v>
      </c>
      <c r="F109" s="6" t="n">
        <f aca="false">'Zoning Research'!Q109</f>
        <v>20</v>
      </c>
      <c r="G109" s="6" t="n">
        <f aca="false">'Zoning Research'!V109</f>
        <v>20</v>
      </c>
      <c r="H109" s="6" t="n">
        <f aca="false">'Zoning Research'!Z109</f>
        <v>20</v>
      </c>
      <c r="I109" s="6" t="n">
        <f aca="false">'Zoning Research'!AE109</f>
        <v>20</v>
      </c>
      <c r="J109" s="12" t="n">
        <f aca="false">'Zoning Research'!AF109</f>
        <v>100</v>
      </c>
      <c r="K109" s="6" t="n">
        <f aca="false">'Zoning Research'!AG109</f>
        <v>0</v>
      </c>
      <c r="L109" s="6" t="n">
        <f aca="false">'Zoning Research'!AH109</f>
        <v>0</v>
      </c>
      <c r="M109" s="6" t="str">
        <f aca="false">'Zoning Research'!AI109</f>
        <v>AI Estimate</v>
      </c>
      <c r="N109" s="2" t="n">
        <v>100</v>
      </c>
      <c r="O109" s="2" t="n">
        <v>100</v>
      </c>
      <c r="P109" s="2" t="n">
        <f aca="false">IF(J109="","",J109-AVERAGE(N109,O109))</f>
        <v>0</v>
      </c>
    </row>
    <row r="110" customFormat="false" ht="15" hidden="false" customHeight="false" outlineLevel="0" collapsed="false">
      <c r="A110" s="2" t="s">
        <v>150</v>
      </c>
      <c r="B110" s="2" t="s">
        <v>12</v>
      </c>
      <c r="C110" s="3" t="n">
        <v>18000</v>
      </c>
      <c r="D110" s="2" t="s">
        <v>403</v>
      </c>
      <c r="E110" s="6" t="n">
        <f aca="false">'Zoning Research'!G110</f>
        <v>16</v>
      </c>
      <c r="F110" s="6" t="n">
        <f aca="false">'Zoning Research'!Q110</f>
        <v>16</v>
      </c>
      <c r="G110" s="6" t="n">
        <f aca="false">'Zoning Research'!V110</f>
        <v>16</v>
      </c>
      <c r="H110" s="6" t="n">
        <f aca="false">'Zoning Research'!Z110</f>
        <v>16</v>
      </c>
      <c r="I110" s="6" t="n">
        <f aca="false">'Zoning Research'!AE110</f>
        <v>16</v>
      </c>
      <c r="J110" s="12" t="n">
        <f aca="false">'Zoning Research'!AF110</f>
        <v>80</v>
      </c>
      <c r="K110" s="6" t="n">
        <f aca="false">'Zoning Research'!AG110</f>
        <v>0</v>
      </c>
      <c r="L110" s="6" t="n">
        <f aca="false">'Zoning Research'!AH110</f>
        <v>0</v>
      </c>
      <c r="M110" s="6" t="str">
        <f aca="false">'Zoning Research'!AI110</f>
        <v>AI Estimate</v>
      </c>
      <c r="N110" s="2" t="n">
        <v>65</v>
      </c>
      <c r="O110" s="2" t="n">
        <v>100</v>
      </c>
      <c r="P110" s="2" t="n">
        <f aca="false">IF(J110="","",J110-AVERAGE(N110,O110))</f>
        <v>-2.5</v>
      </c>
    </row>
    <row r="111" customFormat="false" ht="15" hidden="false" customHeight="false" outlineLevel="0" collapsed="false">
      <c r="A111" s="2" t="s">
        <v>151</v>
      </c>
      <c r="B111" s="2" t="s">
        <v>12</v>
      </c>
      <c r="C111" s="3" t="n">
        <v>18000</v>
      </c>
      <c r="D111" s="2" t="s">
        <v>403</v>
      </c>
      <c r="E111" s="6" t="n">
        <f aca="false">'Zoning Research'!G111</f>
        <v>0</v>
      </c>
      <c r="F111" s="6" t="n">
        <f aca="false">'Zoning Research'!Q111</f>
        <v>0</v>
      </c>
      <c r="G111" s="6" t="n">
        <f aca="false">'Zoning Research'!V111</f>
        <v>0</v>
      </c>
      <c r="H111" s="6" t="n">
        <f aca="false">'Zoning Research'!Z111</f>
        <v>0</v>
      </c>
      <c r="I111" s="6" t="n">
        <f aca="false">'Zoning Research'!AE111</f>
        <v>0</v>
      </c>
      <c r="J111" s="12" t="n">
        <f aca="false">'Zoning Research'!AF111</f>
        <v>0</v>
      </c>
      <c r="K111" s="6" t="n">
        <f aca="false">'Zoning Research'!AG111</f>
        <v>0</v>
      </c>
      <c r="L111" s="6" t="n">
        <f aca="false">'Zoning Research'!AH111</f>
        <v>0</v>
      </c>
      <c r="M111" s="6" t="n">
        <f aca="false">'Zoning Research'!AI111</f>
        <v>0</v>
      </c>
      <c r="N111" s="6"/>
      <c r="O111" s="6"/>
      <c r="P111" s="6"/>
    </row>
    <row r="112" customFormat="false" ht="15" hidden="false" customHeight="false" outlineLevel="0" collapsed="false">
      <c r="A112" s="2" t="s">
        <v>152</v>
      </c>
      <c r="B112" s="2" t="s">
        <v>12</v>
      </c>
      <c r="C112" s="3" t="n">
        <v>18000</v>
      </c>
      <c r="D112" s="2" t="s">
        <v>403</v>
      </c>
      <c r="E112" s="6" t="n">
        <f aca="false">'Zoning Research'!G112</f>
        <v>0</v>
      </c>
      <c r="F112" s="6" t="n">
        <f aca="false">'Zoning Research'!Q112</f>
        <v>0</v>
      </c>
      <c r="G112" s="6" t="n">
        <f aca="false">'Zoning Research'!V112</f>
        <v>0</v>
      </c>
      <c r="H112" s="6" t="n">
        <f aca="false">'Zoning Research'!Z112</f>
        <v>0</v>
      </c>
      <c r="I112" s="6" t="n">
        <f aca="false">'Zoning Research'!AE112</f>
        <v>0</v>
      </c>
      <c r="J112" s="12" t="n">
        <f aca="false">'Zoning Research'!AF112</f>
        <v>0</v>
      </c>
      <c r="K112" s="6" t="n">
        <f aca="false">'Zoning Research'!AG112</f>
        <v>0</v>
      </c>
      <c r="L112" s="6" t="n">
        <f aca="false">'Zoning Research'!AH112</f>
        <v>0</v>
      </c>
      <c r="M112" s="6" t="n">
        <f aca="false">'Zoning Research'!AI112</f>
        <v>0</v>
      </c>
      <c r="N112" s="6"/>
      <c r="O112" s="6"/>
      <c r="P112" s="6"/>
    </row>
    <row r="113" customFormat="false" ht="15" hidden="false" customHeight="false" outlineLevel="0" collapsed="false">
      <c r="A113" s="2" t="s">
        <v>154</v>
      </c>
      <c r="B113" s="2" t="s">
        <v>12</v>
      </c>
      <c r="C113" s="3" t="n">
        <v>17000</v>
      </c>
      <c r="D113" s="2" t="s">
        <v>403</v>
      </c>
      <c r="E113" s="6" t="n">
        <f aca="false">'Zoning Research'!G113</f>
        <v>16</v>
      </c>
      <c r="F113" s="6" t="n">
        <f aca="false">'Zoning Research'!Q113</f>
        <v>16</v>
      </c>
      <c r="G113" s="6" t="n">
        <f aca="false">'Zoning Research'!V113</f>
        <v>16</v>
      </c>
      <c r="H113" s="6" t="n">
        <f aca="false">'Zoning Research'!Z113</f>
        <v>16</v>
      </c>
      <c r="I113" s="6" t="n">
        <f aca="false">'Zoning Research'!AE113</f>
        <v>16</v>
      </c>
      <c r="J113" s="12" t="n">
        <f aca="false">'Zoning Research'!AF113</f>
        <v>80</v>
      </c>
      <c r="K113" s="6" t="n">
        <f aca="false">'Zoning Research'!AG113</f>
        <v>0</v>
      </c>
      <c r="L113" s="6" t="n">
        <f aca="false">'Zoning Research'!AH113</f>
        <v>0</v>
      </c>
      <c r="M113" s="6" t="str">
        <f aca="false">'Zoning Research'!AI113</f>
        <v>AI Estimate</v>
      </c>
      <c r="N113" s="2" t="n">
        <v>65</v>
      </c>
      <c r="O113" s="2" t="n">
        <v>100</v>
      </c>
      <c r="P113" s="2" t="n">
        <f aca="false">IF(J113="","",J113-AVERAGE(N113,O113))</f>
        <v>-2.5</v>
      </c>
    </row>
    <row r="114" customFormat="false" ht="15" hidden="false" customHeight="false" outlineLevel="0" collapsed="false">
      <c r="A114" s="2" t="s">
        <v>155</v>
      </c>
      <c r="B114" s="2" t="s">
        <v>12</v>
      </c>
      <c r="C114" s="3" t="n">
        <v>17000</v>
      </c>
      <c r="D114" s="2" t="s">
        <v>403</v>
      </c>
      <c r="E114" s="6" t="n">
        <f aca="false">'Zoning Research'!G114</f>
        <v>0</v>
      </c>
      <c r="F114" s="6" t="n">
        <f aca="false">'Zoning Research'!Q114</f>
        <v>0</v>
      </c>
      <c r="G114" s="6" t="n">
        <f aca="false">'Zoning Research'!V114</f>
        <v>0</v>
      </c>
      <c r="H114" s="6" t="n">
        <f aca="false">'Zoning Research'!Z114</f>
        <v>0</v>
      </c>
      <c r="I114" s="6" t="n">
        <f aca="false">'Zoning Research'!AE114</f>
        <v>0</v>
      </c>
      <c r="J114" s="12" t="n">
        <f aca="false">'Zoning Research'!AF114</f>
        <v>0</v>
      </c>
      <c r="K114" s="6" t="n">
        <f aca="false">'Zoning Research'!AG114</f>
        <v>0</v>
      </c>
      <c r="L114" s="6" t="n">
        <f aca="false">'Zoning Research'!AH114</f>
        <v>0</v>
      </c>
      <c r="M114" s="6" t="n">
        <f aca="false">'Zoning Research'!AI114</f>
        <v>0</v>
      </c>
      <c r="N114" s="6"/>
      <c r="O114" s="6"/>
      <c r="P114" s="6"/>
    </row>
    <row r="115" customFormat="false" ht="15" hidden="false" customHeight="false" outlineLevel="0" collapsed="false">
      <c r="A115" s="2" t="s">
        <v>157</v>
      </c>
      <c r="B115" s="2" t="s">
        <v>12</v>
      </c>
      <c r="C115" s="3" t="n">
        <v>17000</v>
      </c>
      <c r="D115" s="2" t="s">
        <v>403</v>
      </c>
      <c r="E115" s="6" t="n">
        <f aca="false">'Zoning Research'!G115</f>
        <v>0</v>
      </c>
      <c r="F115" s="6" t="n">
        <f aca="false">'Zoning Research'!Q115</f>
        <v>0</v>
      </c>
      <c r="G115" s="6" t="n">
        <f aca="false">'Zoning Research'!V115</f>
        <v>0</v>
      </c>
      <c r="H115" s="6" t="n">
        <f aca="false">'Zoning Research'!Z115</f>
        <v>0</v>
      </c>
      <c r="I115" s="6" t="n">
        <f aca="false">'Zoning Research'!AE115</f>
        <v>0</v>
      </c>
      <c r="J115" s="12" t="n">
        <f aca="false">'Zoning Research'!AF115</f>
        <v>0</v>
      </c>
      <c r="K115" s="6" t="n">
        <f aca="false">'Zoning Research'!AG115</f>
        <v>0</v>
      </c>
      <c r="L115" s="6" t="n">
        <f aca="false">'Zoning Research'!AH115</f>
        <v>0</v>
      </c>
      <c r="M115" s="6" t="n">
        <f aca="false">'Zoning Research'!AI115</f>
        <v>0</v>
      </c>
      <c r="N115" s="6"/>
      <c r="O115" s="6"/>
      <c r="P115" s="6"/>
    </row>
    <row r="116" customFormat="false" ht="15" hidden="false" customHeight="false" outlineLevel="0" collapsed="false">
      <c r="A116" s="2" t="s">
        <v>158</v>
      </c>
      <c r="B116" s="2" t="s">
        <v>12</v>
      </c>
      <c r="C116" s="3" t="n">
        <v>14000</v>
      </c>
      <c r="D116" s="2" t="s">
        <v>403</v>
      </c>
      <c r="E116" s="6" t="n">
        <f aca="false">'Zoning Research'!G116</f>
        <v>20</v>
      </c>
      <c r="F116" s="6" t="n">
        <f aca="false">'Zoning Research'!Q116</f>
        <v>20</v>
      </c>
      <c r="G116" s="6" t="n">
        <f aca="false">'Zoning Research'!V116</f>
        <v>20</v>
      </c>
      <c r="H116" s="6" t="n">
        <f aca="false">'Zoning Research'!Z116</f>
        <v>20</v>
      </c>
      <c r="I116" s="6" t="n">
        <f aca="false">'Zoning Research'!AE116</f>
        <v>20</v>
      </c>
      <c r="J116" s="12" t="n">
        <f aca="false">'Zoning Research'!AF116</f>
        <v>100</v>
      </c>
      <c r="K116" s="6" t="n">
        <f aca="false">'Zoning Research'!AG116</f>
        <v>0</v>
      </c>
      <c r="L116" s="6" t="n">
        <f aca="false">'Zoning Research'!AH116</f>
        <v>0</v>
      </c>
      <c r="M116" s="6" t="str">
        <f aca="false">'Zoning Research'!AI116</f>
        <v>AI Estimate</v>
      </c>
      <c r="N116" s="2" t="n">
        <v>100</v>
      </c>
      <c r="O116" s="2" t="n">
        <v>100</v>
      </c>
      <c r="P116" s="2" t="n">
        <f aca="false">IF(J116="","",J116-AVERAGE(N116,O116))</f>
        <v>0</v>
      </c>
    </row>
    <row r="117" customFormat="false" ht="15" hidden="false" customHeight="false" outlineLevel="0" collapsed="false">
      <c r="A117" s="2" t="s">
        <v>159</v>
      </c>
      <c r="B117" s="2" t="s">
        <v>12</v>
      </c>
      <c r="C117" s="3" t="n">
        <v>14000</v>
      </c>
      <c r="D117" s="2" t="s">
        <v>403</v>
      </c>
      <c r="E117" s="6" t="n">
        <f aca="false">'Zoning Research'!G117</f>
        <v>20</v>
      </c>
      <c r="F117" s="6" t="n">
        <f aca="false">'Zoning Research'!Q117</f>
        <v>20</v>
      </c>
      <c r="G117" s="6" t="n">
        <f aca="false">'Zoning Research'!V117</f>
        <v>20</v>
      </c>
      <c r="H117" s="6" t="n">
        <f aca="false">'Zoning Research'!Z117</f>
        <v>20</v>
      </c>
      <c r="I117" s="6" t="n">
        <f aca="false">'Zoning Research'!AE117</f>
        <v>20</v>
      </c>
      <c r="J117" s="12" t="n">
        <f aca="false">'Zoning Research'!AF117</f>
        <v>100</v>
      </c>
      <c r="K117" s="6" t="n">
        <f aca="false">'Zoning Research'!AG117</f>
        <v>0</v>
      </c>
      <c r="L117" s="6" t="n">
        <f aca="false">'Zoning Research'!AH117</f>
        <v>0</v>
      </c>
      <c r="M117" s="6" t="str">
        <f aca="false">'Zoning Research'!AI117</f>
        <v>AI Estimate</v>
      </c>
      <c r="N117" s="2" t="n">
        <v>100</v>
      </c>
      <c r="O117" s="2" t="n">
        <v>100</v>
      </c>
      <c r="P117" s="2" t="n">
        <f aca="false">IF(J117="","",J117-AVERAGE(N117,O117))</f>
        <v>0</v>
      </c>
    </row>
    <row r="118" customFormat="false" ht="15" hidden="false" customHeight="false" outlineLevel="0" collapsed="false">
      <c r="A118" s="2" t="s">
        <v>160</v>
      </c>
      <c r="B118" s="2" t="s">
        <v>12</v>
      </c>
      <c r="C118" s="3" t="n">
        <v>13000</v>
      </c>
      <c r="D118" s="2" t="s">
        <v>403</v>
      </c>
      <c r="E118" s="6" t="n">
        <f aca="false">'Zoning Research'!G118</f>
        <v>20</v>
      </c>
      <c r="F118" s="6" t="n">
        <f aca="false">'Zoning Research'!Q118</f>
        <v>20</v>
      </c>
      <c r="G118" s="6" t="n">
        <f aca="false">'Zoning Research'!V118</f>
        <v>20</v>
      </c>
      <c r="H118" s="6" t="n">
        <f aca="false">'Zoning Research'!Z118</f>
        <v>20</v>
      </c>
      <c r="I118" s="6" t="n">
        <f aca="false">'Zoning Research'!AE118</f>
        <v>20</v>
      </c>
      <c r="J118" s="12" t="n">
        <f aca="false">'Zoning Research'!AF118</f>
        <v>100</v>
      </c>
      <c r="K118" s="6" t="n">
        <f aca="false">'Zoning Research'!AG118</f>
        <v>0</v>
      </c>
      <c r="L118" s="6" t="n">
        <f aca="false">'Zoning Research'!AH118</f>
        <v>0</v>
      </c>
      <c r="M118" s="6" t="str">
        <f aca="false">'Zoning Research'!AI118</f>
        <v>AI Estimate</v>
      </c>
      <c r="N118" s="2" t="n">
        <v>100</v>
      </c>
      <c r="O118" s="2" t="n">
        <v>100</v>
      </c>
      <c r="P118" s="2" t="n">
        <f aca="false">IF(J118="","",J118-AVERAGE(N118,O118))</f>
        <v>0</v>
      </c>
    </row>
    <row r="119" customFormat="false" ht="15" hidden="false" customHeight="false" outlineLevel="0" collapsed="false">
      <c r="A119" s="2" t="s">
        <v>161</v>
      </c>
      <c r="B119" s="2" t="s">
        <v>12</v>
      </c>
      <c r="C119" s="3" t="n">
        <v>13000</v>
      </c>
      <c r="D119" s="2" t="s">
        <v>403</v>
      </c>
      <c r="E119" s="6" t="n">
        <f aca="false">'Zoning Research'!G119</f>
        <v>0</v>
      </c>
      <c r="F119" s="6" t="n">
        <f aca="false">'Zoning Research'!Q119</f>
        <v>0</v>
      </c>
      <c r="G119" s="6" t="n">
        <f aca="false">'Zoning Research'!V119</f>
        <v>0</v>
      </c>
      <c r="H119" s="6" t="n">
        <f aca="false">'Zoning Research'!Z119</f>
        <v>0</v>
      </c>
      <c r="I119" s="6" t="n">
        <f aca="false">'Zoning Research'!AE119</f>
        <v>0</v>
      </c>
      <c r="J119" s="12" t="n">
        <f aca="false">'Zoning Research'!AF119</f>
        <v>0</v>
      </c>
      <c r="K119" s="6" t="n">
        <f aca="false">'Zoning Research'!AG119</f>
        <v>0</v>
      </c>
      <c r="L119" s="6" t="n">
        <f aca="false">'Zoning Research'!AH119</f>
        <v>0</v>
      </c>
      <c r="M119" s="6" t="n">
        <f aca="false">'Zoning Research'!AI119</f>
        <v>0</v>
      </c>
      <c r="N119" s="6"/>
      <c r="O119" s="6"/>
      <c r="P119" s="6"/>
    </row>
    <row r="120" customFormat="false" ht="15" hidden="false" customHeight="false" outlineLevel="0" collapsed="false">
      <c r="A120" s="2" t="s">
        <v>162</v>
      </c>
      <c r="B120" s="2" t="s">
        <v>12</v>
      </c>
      <c r="C120" s="3" t="n">
        <v>12000</v>
      </c>
      <c r="D120" s="2" t="s">
        <v>403</v>
      </c>
      <c r="E120" s="6" t="n">
        <f aca="false">'Zoning Research'!G120</f>
        <v>14</v>
      </c>
      <c r="F120" s="6" t="n">
        <f aca="false">'Zoning Research'!Q120</f>
        <v>14</v>
      </c>
      <c r="G120" s="6" t="n">
        <f aca="false">'Zoning Research'!V120</f>
        <v>14</v>
      </c>
      <c r="H120" s="6" t="n">
        <f aca="false">'Zoning Research'!Z120</f>
        <v>14</v>
      </c>
      <c r="I120" s="6" t="n">
        <f aca="false">'Zoning Research'!AE120</f>
        <v>14</v>
      </c>
      <c r="J120" s="12" t="n">
        <f aca="false">'Zoning Research'!AF120</f>
        <v>70</v>
      </c>
      <c r="K120" s="6" t="n">
        <f aca="false">'Zoning Research'!AG120</f>
        <v>0</v>
      </c>
      <c r="L120" s="6" t="n">
        <f aca="false">'Zoning Research'!AH120</f>
        <v>0</v>
      </c>
      <c r="M120" s="6" t="str">
        <f aca="false">'Zoning Research'!AI120</f>
        <v>AI Estimate</v>
      </c>
      <c r="N120" s="2" t="n">
        <v>65</v>
      </c>
      <c r="O120" s="2" t="n">
        <v>75</v>
      </c>
      <c r="P120" s="2" t="n">
        <f aca="false">IF(J120="","",J120-AVERAGE(N120,O120))</f>
        <v>0</v>
      </c>
    </row>
    <row r="121" customFormat="false" ht="15" hidden="false" customHeight="false" outlineLevel="0" collapsed="false">
      <c r="A121" s="2" t="s">
        <v>163</v>
      </c>
      <c r="B121" s="2" t="s">
        <v>12</v>
      </c>
      <c r="C121" s="3" t="n">
        <v>12000</v>
      </c>
      <c r="D121" s="2" t="s">
        <v>403</v>
      </c>
      <c r="E121" s="6" t="n">
        <f aca="false">'Zoning Research'!G121</f>
        <v>0</v>
      </c>
      <c r="F121" s="6" t="n">
        <f aca="false">'Zoning Research'!Q121</f>
        <v>0</v>
      </c>
      <c r="G121" s="6" t="n">
        <f aca="false">'Zoning Research'!V121</f>
        <v>0</v>
      </c>
      <c r="H121" s="6" t="n">
        <f aca="false">'Zoning Research'!Z121</f>
        <v>0</v>
      </c>
      <c r="I121" s="6" t="n">
        <f aca="false">'Zoning Research'!AE121</f>
        <v>0</v>
      </c>
      <c r="J121" s="12" t="n">
        <f aca="false">'Zoning Research'!AF121</f>
        <v>0</v>
      </c>
      <c r="K121" s="6" t="n">
        <f aca="false">'Zoning Research'!AG121</f>
        <v>0</v>
      </c>
      <c r="L121" s="6" t="n">
        <f aca="false">'Zoning Research'!AH121</f>
        <v>0</v>
      </c>
      <c r="M121" s="6" t="n">
        <f aca="false">'Zoning Research'!AI121</f>
        <v>0</v>
      </c>
      <c r="N121" s="6"/>
      <c r="O121" s="6"/>
      <c r="P121" s="6"/>
    </row>
    <row r="122" customFormat="false" ht="15" hidden="false" customHeight="false" outlineLevel="0" collapsed="false">
      <c r="A122" s="2" t="s">
        <v>164</v>
      </c>
      <c r="B122" s="2" t="s">
        <v>12</v>
      </c>
      <c r="C122" s="3" t="n">
        <v>11000</v>
      </c>
      <c r="D122" s="2" t="s">
        <v>403</v>
      </c>
      <c r="E122" s="6" t="n">
        <f aca="false">'Zoning Research'!G122</f>
        <v>0</v>
      </c>
      <c r="F122" s="6" t="n">
        <f aca="false">'Zoning Research'!Q122</f>
        <v>0</v>
      </c>
      <c r="G122" s="6" t="n">
        <f aca="false">'Zoning Research'!V122</f>
        <v>0</v>
      </c>
      <c r="H122" s="6" t="n">
        <f aca="false">'Zoning Research'!Z122</f>
        <v>0</v>
      </c>
      <c r="I122" s="6" t="n">
        <f aca="false">'Zoning Research'!AE122</f>
        <v>0</v>
      </c>
      <c r="J122" s="12" t="n">
        <f aca="false">'Zoning Research'!AF122</f>
        <v>0</v>
      </c>
      <c r="K122" s="6" t="n">
        <f aca="false">'Zoning Research'!AG122</f>
        <v>0</v>
      </c>
      <c r="L122" s="6" t="n">
        <f aca="false">'Zoning Research'!AH122</f>
        <v>0</v>
      </c>
      <c r="M122" s="6" t="n">
        <f aca="false">'Zoning Research'!AI122</f>
        <v>0</v>
      </c>
      <c r="N122" s="6"/>
      <c r="O122" s="6"/>
      <c r="P122" s="6"/>
    </row>
    <row r="123" customFormat="false" ht="15" hidden="false" customHeight="false" outlineLevel="0" collapsed="false">
      <c r="A123" s="2" t="s">
        <v>166</v>
      </c>
      <c r="B123" s="2" t="s">
        <v>12</v>
      </c>
      <c r="C123" s="3" t="n">
        <v>10000</v>
      </c>
      <c r="D123" s="2" t="s">
        <v>403</v>
      </c>
      <c r="E123" s="6" t="n">
        <f aca="false">'Zoning Research'!G123</f>
        <v>14</v>
      </c>
      <c r="F123" s="6" t="n">
        <f aca="false">'Zoning Research'!Q123</f>
        <v>14</v>
      </c>
      <c r="G123" s="6" t="n">
        <f aca="false">'Zoning Research'!V123</f>
        <v>14</v>
      </c>
      <c r="H123" s="6" t="n">
        <f aca="false">'Zoning Research'!Z123</f>
        <v>14</v>
      </c>
      <c r="I123" s="6" t="n">
        <f aca="false">'Zoning Research'!AE123</f>
        <v>14</v>
      </c>
      <c r="J123" s="12" t="n">
        <f aca="false">'Zoning Research'!AF123</f>
        <v>70</v>
      </c>
      <c r="K123" s="6" t="n">
        <f aca="false">'Zoning Research'!AG123</f>
        <v>0</v>
      </c>
      <c r="L123" s="6" t="n">
        <f aca="false">'Zoning Research'!AH123</f>
        <v>0</v>
      </c>
      <c r="M123" s="6" t="str">
        <f aca="false">'Zoning Research'!AI123</f>
        <v>AI Estimate</v>
      </c>
      <c r="N123" s="2" t="n">
        <v>65</v>
      </c>
      <c r="O123" s="2" t="n">
        <v>75</v>
      </c>
      <c r="P123" s="2" t="n">
        <f aca="false">IF(J123="","",J123-AVERAGE(N123,O123))</f>
        <v>0</v>
      </c>
    </row>
    <row r="124" customFormat="false" ht="15" hidden="false" customHeight="false" outlineLevel="0" collapsed="false">
      <c r="A124" s="2" t="s">
        <v>168</v>
      </c>
      <c r="B124" s="2" t="s">
        <v>12</v>
      </c>
      <c r="C124" s="3" t="n">
        <v>9200</v>
      </c>
      <c r="D124" s="2" t="s">
        <v>404</v>
      </c>
      <c r="E124" s="6" t="n">
        <f aca="false">'Zoning Research'!G124</f>
        <v>20</v>
      </c>
      <c r="F124" s="6" t="n">
        <f aca="false">'Zoning Research'!Q124</f>
        <v>20</v>
      </c>
      <c r="G124" s="6" t="n">
        <f aca="false">'Zoning Research'!V124</f>
        <v>20</v>
      </c>
      <c r="H124" s="6" t="n">
        <f aca="false">'Zoning Research'!Z124</f>
        <v>20</v>
      </c>
      <c r="I124" s="6" t="n">
        <f aca="false">'Zoning Research'!AE124</f>
        <v>20</v>
      </c>
      <c r="J124" s="12" t="n">
        <f aca="false">'Zoning Research'!AF124</f>
        <v>100</v>
      </c>
      <c r="K124" s="6" t="n">
        <f aca="false">'Zoning Research'!AG124</f>
        <v>0</v>
      </c>
      <c r="L124" s="6" t="n">
        <f aca="false">'Zoning Research'!AH124</f>
        <v>0</v>
      </c>
      <c r="M124" s="6" t="str">
        <f aca="false">'Zoning Research'!AI124</f>
        <v>AI Estimate</v>
      </c>
      <c r="N124" s="2" t="n">
        <v>100</v>
      </c>
      <c r="O124" s="2" t="n">
        <v>100</v>
      </c>
      <c r="P124" s="2" t="n">
        <f aca="false">IF(J124="","",J124-AVERAGE(N124,O124))</f>
        <v>0</v>
      </c>
    </row>
    <row r="125" customFormat="false" ht="15" hidden="false" customHeight="false" outlineLevel="0" collapsed="false">
      <c r="A125" s="2" t="s">
        <v>170</v>
      </c>
      <c r="B125" s="2" t="s">
        <v>12</v>
      </c>
      <c r="C125" s="3" t="n">
        <v>9000</v>
      </c>
      <c r="D125" s="2" t="s">
        <v>404</v>
      </c>
      <c r="E125" s="6" t="n">
        <f aca="false">'Zoning Research'!G125</f>
        <v>14</v>
      </c>
      <c r="F125" s="6" t="n">
        <f aca="false">'Zoning Research'!Q125</f>
        <v>14</v>
      </c>
      <c r="G125" s="6" t="n">
        <f aca="false">'Zoning Research'!V125</f>
        <v>14</v>
      </c>
      <c r="H125" s="6" t="n">
        <f aca="false">'Zoning Research'!Z125</f>
        <v>14</v>
      </c>
      <c r="I125" s="6" t="n">
        <f aca="false">'Zoning Research'!AE125</f>
        <v>14</v>
      </c>
      <c r="J125" s="12" t="n">
        <f aca="false">'Zoning Research'!AF125</f>
        <v>70</v>
      </c>
      <c r="K125" s="6" t="n">
        <f aca="false">'Zoning Research'!AG125</f>
        <v>0</v>
      </c>
      <c r="L125" s="6" t="n">
        <f aca="false">'Zoning Research'!AH125</f>
        <v>0</v>
      </c>
      <c r="M125" s="6" t="str">
        <f aca="false">'Zoning Research'!AI125</f>
        <v>AI Estimate</v>
      </c>
      <c r="N125" s="2" t="n">
        <v>65</v>
      </c>
      <c r="O125" s="2" t="n">
        <v>75</v>
      </c>
      <c r="P125" s="2" t="n">
        <f aca="false">IF(J125="","",J125-AVERAGE(N125,O125))</f>
        <v>0</v>
      </c>
    </row>
    <row r="126" customFormat="false" ht="15" hidden="false" customHeight="false" outlineLevel="0" collapsed="false">
      <c r="A126" s="2" t="s">
        <v>171</v>
      </c>
      <c r="B126" s="2" t="s">
        <v>12</v>
      </c>
      <c r="C126" s="3" t="n">
        <v>9000</v>
      </c>
      <c r="D126" s="2" t="s">
        <v>404</v>
      </c>
      <c r="E126" s="6" t="n">
        <f aca="false">'Zoning Research'!G126</f>
        <v>14</v>
      </c>
      <c r="F126" s="6" t="n">
        <f aca="false">'Zoning Research'!Q126</f>
        <v>14</v>
      </c>
      <c r="G126" s="6" t="n">
        <f aca="false">'Zoning Research'!V126</f>
        <v>14</v>
      </c>
      <c r="H126" s="6" t="n">
        <f aca="false">'Zoning Research'!Z126</f>
        <v>14</v>
      </c>
      <c r="I126" s="6" t="n">
        <f aca="false">'Zoning Research'!AE126</f>
        <v>14</v>
      </c>
      <c r="J126" s="12" t="n">
        <f aca="false">'Zoning Research'!AF126</f>
        <v>70</v>
      </c>
      <c r="K126" s="6" t="n">
        <f aca="false">'Zoning Research'!AG126</f>
        <v>0</v>
      </c>
      <c r="L126" s="6" t="n">
        <f aca="false">'Zoning Research'!AH126</f>
        <v>0</v>
      </c>
      <c r="M126" s="6" t="str">
        <f aca="false">'Zoning Research'!AI126</f>
        <v>AI Estimate</v>
      </c>
      <c r="N126" s="2" t="n">
        <v>65</v>
      </c>
      <c r="O126" s="2" t="n">
        <v>75</v>
      </c>
      <c r="P126" s="2" t="n">
        <f aca="false">IF(J126="","",J126-AVERAGE(N126,O126))</f>
        <v>0</v>
      </c>
    </row>
    <row r="127" customFormat="false" ht="15" hidden="false" customHeight="false" outlineLevel="0" collapsed="false">
      <c r="A127" s="2" t="s">
        <v>172</v>
      </c>
      <c r="B127" s="2" t="s">
        <v>12</v>
      </c>
      <c r="C127" s="3" t="n">
        <v>8500</v>
      </c>
      <c r="D127" s="2" t="s">
        <v>404</v>
      </c>
      <c r="E127" s="6" t="n">
        <f aca="false">'Zoning Research'!G127</f>
        <v>20</v>
      </c>
      <c r="F127" s="6" t="n">
        <f aca="false">'Zoning Research'!Q127</f>
        <v>20</v>
      </c>
      <c r="G127" s="6" t="n">
        <f aca="false">'Zoning Research'!V127</f>
        <v>20</v>
      </c>
      <c r="H127" s="6" t="n">
        <f aca="false">'Zoning Research'!Z127</f>
        <v>20</v>
      </c>
      <c r="I127" s="6" t="n">
        <f aca="false">'Zoning Research'!AE127</f>
        <v>20</v>
      </c>
      <c r="J127" s="12" t="n">
        <f aca="false">'Zoning Research'!AF127</f>
        <v>100</v>
      </c>
      <c r="K127" s="6" t="n">
        <f aca="false">'Zoning Research'!AG127</f>
        <v>0</v>
      </c>
      <c r="L127" s="6" t="n">
        <f aca="false">'Zoning Research'!AH127</f>
        <v>0</v>
      </c>
      <c r="M127" s="6" t="str">
        <f aca="false">'Zoning Research'!AI127</f>
        <v>AI Estimate</v>
      </c>
      <c r="N127" s="2" t="n">
        <v>100</v>
      </c>
      <c r="O127" s="2" t="n">
        <v>100</v>
      </c>
      <c r="P127" s="2" t="n">
        <f aca="false">IF(J127="","",J127-AVERAGE(N127,O127))</f>
        <v>0</v>
      </c>
    </row>
    <row r="128" customFormat="false" ht="15" hidden="false" customHeight="false" outlineLevel="0" collapsed="false">
      <c r="A128" s="2" t="s">
        <v>173</v>
      </c>
      <c r="B128" s="2" t="s">
        <v>12</v>
      </c>
      <c r="C128" s="3" t="n">
        <v>7000</v>
      </c>
      <c r="D128" s="2" t="s">
        <v>404</v>
      </c>
      <c r="E128" s="6" t="n">
        <f aca="false">'Zoning Research'!G128</f>
        <v>0</v>
      </c>
      <c r="F128" s="6" t="n">
        <f aca="false">'Zoning Research'!Q128</f>
        <v>0</v>
      </c>
      <c r="G128" s="6" t="n">
        <f aca="false">'Zoning Research'!V128</f>
        <v>0</v>
      </c>
      <c r="H128" s="6" t="n">
        <f aca="false">'Zoning Research'!Z128</f>
        <v>0</v>
      </c>
      <c r="I128" s="6" t="n">
        <f aca="false">'Zoning Research'!AE128</f>
        <v>0</v>
      </c>
      <c r="J128" s="12" t="n">
        <f aca="false">'Zoning Research'!AF128</f>
        <v>0</v>
      </c>
      <c r="K128" s="6" t="n">
        <f aca="false">'Zoning Research'!AG128</f>
        <v>0</v>
      </c>
      <c r="L128" s="6" t="n">
        <f aca="false">'Zoning Research'!AH128</f>
        <v>0</v>
      </c>
      <c r="M128" s="6" t="n">
        <f aca="false">'Zoning Research'!AI128</f>
        <v>0</v>
      </c>
      <c r="N128" s="6"/>
      <c r="O128" s="6"/>
      <c r="P128" s="6"/>
    </row>
    <row r="129" customFormat="false" ht="15" hidden="false" customHeight="false" outlineLevel="0" collapsed="false">
      <c r="A129" s="2" t="s">
        <v>174</v>
      </c>
      <c r="B129" s="2" t="s">
        <v>12</v>
      </c>
      <c r="C129" s="3" t="n">
        <v>2500</v>
      </c>
      <c r="D129" s="2" t="s">
        <v>405</v>
      </c>
      <c r="E129" s="6" t="n">
        <f aca="false">'Zoning Research'!G129</f>
        <v>4</v>
      </c>
      <c r="F129" s="6" t="n">
        <f aca="false">'Zoning Research'!Q129</f>
        <v>4</v>
      </c>
      <c r="G129" s="6" t="n">
        <f aca="false">'Zoning Research'!V129</f>
        <v>4</v>
      </c>
      <c r="H129" s="6" t="n">
        <f aca="false">'Zoning Research'!Z129</f>
        <v>4</v>
      </c>
      <c r="I129" s="6" t="n">
        <f aca="false">'Zoning Research'!AE129</f>
        <v>4</v>
      </c>
      <c r="J129" s="12" t="n">
        <f aca="false">'Zoning Research'!AF129</f>
        <v>20</v>
      </c>
      <c r="K129" s="6" t="n">
        <f aca="false">'Zoning Research'!AG129</f>
        <v>0</v>
      </c>
      <c r="L129" s="6" t="n">
        <f aca="false">'Zoning Research'!AH129</f>
        <v>0</v>
      </c>
      <c r="M129" s="6" t="str">
        <f aca="false">'Zoning Research'!AI129</f>
        <v>AI Estimate</v>
      </c>
      <c r="N129" s="2" t="n">
        <v>20</v>
      </c>
      <c r="O129" s="2" t="n">
        <v>20</v>
      </c>
      <c r="P129" s="2" t="n">
        <f aca="false">IF(J129="","",J129-AVERAGE(N129,O129))</f>
        <v>0</v>
      </c>
    </row>
    <row r="130" customFormat="false" ht="15" hidden="false" customHeight="false" outlineLevel="0" collapsed="false">
      <c r="A130" s="2" t="s">
        <v>176</v>
      </c>
      <c r="B130" s="2" t="s">
        <v>177</v>
      </c>
      <c r="C130" s="3" t="n">
        <v>887000</v>
      </c>
      <c r="D130" s="2" t="s">
        <v>403</v>
      </c>
      <c r="E130" s="6" t="n">
        <f aca="false">'Zoning Research'!G130</f>
        <v>0</v>
      </c>
      <c r="F130" s="6" t="n">
        <f aca="false">'Zoning Research'!Q130</f>
        <v>0</v>
      </c>
      <c r="G130" s="6" t="n">
        <f aca="false">'Zoning Research'!V130</f>
        <v>0</v>
      </c>
      <c r="H130" s="6" t="n">
        <f aca="false">'Zoning Research'!Z130</f>
        <v>0</v>
      </c>
      <c r="I130" s="6" t="n">
        <f aca="false">'Zoning Research'!AE130</f>
        <v>0</v>
      </c>
      <c r="J130" s="12" t="n">
        <f aca="false">'Zoning Research'!AF130</f>
        <v>0</v>
      </c>
      <c r="K130" s="6" t="n">
        <f aca="false">'Zoning Research'!AG130</f>
        <v>0</v>
      </c>
      <c r="L130" s="6" t="n">
        <f aca="false">'Zoning Research'!AH130</f>
        <v>0</v>
      </c>
      <c r="M130" s="6" t="n">
        <f aca="false">'Zoning Research'!AI130</f>
        <v>0</v>
      </c>
      <c r="N130" s="6"/>
      <c r="O130" s="6"/>
      <c r="P130" s="6"/>
    </row>
    <row r="131" customFormat="false" ht="15" hidden="false" customHeight="false" outlineLevel="0" collapsed="false">
      <c r="A131" s="2" t="s">
        <v>178</v>
      </c>
      <c r="B131" s="2" t="s">
        <v>177</v>
      </c>
      <c r="C131" s="3" t="n">
        <v>264000</v>
      </c>
      <c r="D131" s="2" t="s">
        <v>403</v>
      </c>
      <c r="E131" s="6" t="n">
        <f aca="false">'Zoning Research'!G131</f>
        <v>0</v>
      </c>
      <c r="F131" s="6" t="n">
        <f aca="false">'Zoning Research'!Q131</f>
        <v>0</v>
      </c>
      <c r="G131" s="6" t="n">
        <f aca="false">'Zoning Research'!V131</f>
        <v>0</v>
      </c>
      <c r="H131" s="6" t="n">
        <f aca="false">'Zoning Research'!Z131</f>
        <v>0</v>
      </c>
      <c r="I131" s="6" t="n">
        <f aca="false">'Zoning Research'!AE131</f>
        <v>0</v>
      </c>
      <c r="J131" s="12" t="n">
        <f aca="false">'Zoning Research'!AF131</f>
        <v>0</v>
      </c>
      <c r="K131" s="6" t="n">
        <f aca="false">'Zoning Research'!AG131</f>
        <v>0</v>
      </c>
      <c r="L131" s="6" t="n">
        <f aca="false">'Zoning Research'!AH131</f>
        <v>0</v>
      </c>
      <c r="M131" s="6" t="n">
        <f aca="false">'Zoning Research'!AI131</f>
        <v>0</v>
      </c>
      <c r="N131" s="6"/>
      <c r="O131" s="6"/>
      <c r="P131" s="6"/>
    </row>
    <row r="132" customFormat="false" ht="15" hidden="false" customHeight="false" outlineLevel="0" collapsed="false">
      <c r="A132" s="2" t="s">
        <v>180</v>
      </c>
      <c r="B132" s="2" t="s">
        <v>177</v>
      </c>
      <c r="C132" s="3" t="n">
        <v>118000</v>
      </c>
      <c r="D132" s="2" t="s">
        <v>403</v>
      </c>
      <c r="E132" s="6" t="n">
        <f aca="false">'Zoning Research'!G132</f>
        <v>0</v>
      </c>
      <c r="F132" s="6" t="n">
        <f aca="false">'Zoning Research'!Q132</f>
        <v>0</v>
      </c>
      <c r="G132" s="6" t="n">
        <f aca="false">'Zoning Research'!V132</f>
        <v>0</v>
      </c>
      <c r="H132" s="6" t="n">
        <f aca="false">'Zoning Research'!Z132</f>
        <v>0</v>
      </c>
      <c r="I132" s="6" t="n">
        <f aca="false">'Zoning Research'!AE132</f>
        <v>0</v>
      </c>
      <c r="J132" s="12" t="n">
        <f aca="false">'Zoning Research'!AF132</f>
        <v>0</v>
      </c>
      <c r="K132" s="6" t="n">
        <f aca="false">'Zoning Research'!AG132</f>
        <v>0</v>
      </c>
      <c r="L132" s="6" t="n">
        <f aca="false">'Zoning Research'!AH132</f>
        <v>0</v>
      </c>
      <c r="M132" s="6" t="n">
        <f aca="false">'Zoning Research'!AI132</f>
        <v>0</v>
      </c>
      <c r="N132" s="6"/>
      <c r="O132" s="6"/>
      <c r="P132" s="6"/>
    </row>
    <row r="133" customFormat="false" ht="15" hidden="false" customHeight="false" outlineLevel="0" collapsed="false">
      <c r="A133" s="2" t="s">
        <v>182</v>
      </c>
      <c r="B133" s="2" t="s">
        <v>177</v>
      </c>
      <c r="C133" s="3" t="n">
        <v>103000</v>
      </c>
      <c r="D133" s="2" t="s">
        <v>403</v>
      </c>
      <c r="E133" s="6" t="n">
        <f aca="false">'Zoning Research'!G133</f>
        <v>0</v>
      </c>
      <c r="F133" s="6" t="n">
        <f aca="false">'Zoning Research'!Q133</f>
        <v>0</v>
      </c>
      <c r="G133" s="6" t="n">
        <f aca="false">'Zoning Research'!V133</f>
        <v>0</v>
      </c>
      <c r="H133" s="6" t="n">
        <f aca="false">'Zoning Research'!Z133</f>
        <v>0</v>
      </c>
      <c r="I133" s="6" t="n">
        <f aca="false">'Zoning Research'!AE133</f>
        <v>0</v>
      </c>
      <c r="J133" s="12" t="n">
        <f aca="false">'Zoning Research'!AF133</f>
        <v>0</v>
      </c>
      <c r="K133" s="6" t="n">
        <f aca="false">'Zoning Research'!AG133</f>
        <v>0</v>
      </c>
      <c r="L133" s="6" t="n">
        <f aca="false">'Zoning Research'!AH133</f>
        <v>0</v>
      </c>
      <c r="M133" s="6" t="n">
        <f aca="false">'Zoning Research'!AI133</f>
        <v>0</v>
      </c>
      <c r="N133" s="6"/>
      <c r="O133" s="6"/>
      <c r="P133" s="6"/>
    </row>
    <row r="134" customFormat="false" ht="15" hidden="false" customHeight="false" outlineLevel="0" collapsed="false">
      <c r="A134" s="2" t="s">
        <v>184</v>
      </c>
      <c r="B134" s="2" t="s">
        <v>177</v>
      </c>
      <c r="C134" s="3" t="n">
        <v>101000</v>
      </c>
      <c r="D134" s="2" t="s">
        <v>403</v>
      </c>
      <c r="E134" s="6" t="n">
        <f aca="false">'Zoning Research'!G134</f>
        <v>0</v>
      </c>
      <c r="F134" s="6" t="n">
        <f aca="false">'Zoning Research'!Q134</f>
        <v>0</v>
      </c>
      <c r="G134" s="6" t="n">
        <f aca="false">'Zoning Research'!V134</f>
        <v>0</v>
      </c>
      <c r="H134" s="6" t="n">
        <f aca="false">'Zoning Research'!Z134</f>
        <v>0</v>
      </c>
      <c r="I134" s="6" t="n">
        <f aca="false">'Zoning Research'!AE134</f>
        <v>0</v>
      </c>
      <c r="J134" s="12" t="n">
        <f aca="false">'Zoning Research'!AF134</f>
        <v>0</v>
      </c>
      <c r="K134" s="6" t="n">
        <f aca="false">'Zoning Research'!AG134</f>
        <v>0</v>
      </c>
      <c r="L134" s="6" t="n">
        <f aca="false">'Zoning Research'!AH134</f>
        <v>0</v>
      </c>
      <c r="M134" s="6" t="n">
        <f aca="false">'Zoning Research'!AI134</f>
        <v>0</v>
      </c>
      <c r="N134" s="6"/>
      <c r="O134" s="6"/>
      <c r="P134" s="6"/>
    </row>
    <row r="135" customFormat="false" ht="15" hidden="false" customHeight="false" outlineLevel="0" collapsed="false">
      <c r="A135" s="2" t="s">
        <v>186</v>
      </c>
      <c r="B135" s="2" t="s">
        <v>177</v>
      </c>
      <c r="C135" s="3" t="n">
        <v>99000</v>
      </c>
      <c r="D135" s="2" t="s">
        <v>403</v>
      </c>
      <c r="E135" s="6" t="n">
        <f aca="false">'Zoning Research'!G135</f>
        <v>0</v>
      </c>
      <c r="F135" s="6" t="n">
        <f aca="false">'Zoning Research'!Q135</f>
        <v>0</v>
      </c>
      <c r="G135" s="6" t="n">
        <f aca="false">'Zoning Research'!V135</f>
        <v>0</v>
      </c>
      <c r="H135" s="6" t="n">
        <f aca="false">'Zoning Research'!Z135</f>
        <v>0</v>
      </c>
      <c r="I135" s="6" t="n">
        <f aca="false">'Zoning Research'!AE135</f>
        <v>0</v>
      </c>
      <c r="J135" s="12" t="n">
        <f aca="false">'Zoning Research'!AF135</f>
        <v>0</v>
      </c>
      <c r="K135" s="6" t="n">
        <f aca="false">'Zoning Research'!AG135</f>
        <v>0</v>
      </c>
      <c r="L135" s="6" t="n">
        <f aca="false">'Zoning Research'!AH135</f>
        <v>0</v>
      </c>
      <c r="M135" s="6" t="n">
        <f aca="false">'Zoning Research'!AI135</f>
        <v>0</v>
      </c>
      <c r="N135" s="6"/>
      <c r="O135" s="6"/>
      <c r="P135" s="6"/>
    </row>
    <row r="136" customFormat="false" ht="15" hidden="false" customHeight="false" outlineLevel="0" collapsed="false">
      <c r="A136" s="2" t="s">
        <v>37</v>
      </c>
      <c r="B136" s="2" t="s">
        <v>177</v>
      </c>
      <c r="C136" s="3" t="n">
        <v>84000</v>
      </c>
      <c r="D136" s="2" t="s">
        <v>403</v>
      </c>
      <c r="E136" s="6" t="n">
        <f aca="false">'Zoning Research'!G136</f>
        <v>0</v>
      </c>
      <c r="F136" s="6" t="n">
        <f aca="false">'Zoning Research'!Q136</f>
        <v>0</v>
      </c>
      <c r="G136" s="6" t="n">
        <f aca="false">'Zoning Research'!V136</f>
        <v>0</v>
      </c>
      <c r="H136" s="6" t="n">
        <f aca="false">'Zoning Research'!Z136</f>
        <v>0</v>
      </c>
      <c r="I136" s="6" t="n">
        <f aca="false">'Zoning Research'!AE136</f>
        <v>0</v>
      </c>
      <c r="J136" s="12" t="n">
        <f aca="false">'Zoning Research'!AF136</f>
        <v>0</v>
      </c>
      <c r="K136" s="6" t="n">
        <f aca="false">'Zoning Research'!AG136</f>
        <v>0</v>
      </c>
      <c r="L136" s="6" t="n">
        <f aca="false">'Zoning Research'!AH136</f>
        <v>0</v>
      </c>
      <c r="M136" s="6" t="n">
        <f aca="false">'Zoning Research'!AI136</f>
        <v>0</v>
      </c>
      <c r="N136" s="6"/>
      <c r="O136" s="6"/>
      <c r="P136" s="6"/>
    </row>
    <row r="137" customFormat="false" ht="15" hidden="false" customHeight="false" outlineLevel="0" collapsed="false">
      <c r="A137" s="2" t="s">
        <v>188</v>
      </c>
      <c r="B137" s="2" t="s">
        <v>177</v>
      </c>
      <c r="C137" s="3" t="n">
        <v>77000</v>
      </c>
      <c r="D137" s="2" t="s">
        <v>403</v>
      </c>
      <c r="E137" s="6" t="n">
        <f aca="false">'Zoning Research'!G137</f>
        <v>0</v>
      </c>
      <c r="F137" s="6" t="n">
        <f aca="false">'Zoning Research'!Q137</f>
        <v>0</v>
      </c>
      <c r="G137" s="6" t="n">
        <f aca="false">'Zoning Research'!V137</f>
        <v>0</v>
      </c>
      <c r="H137" s="6" t="n">
        <f aca="false">'Zoning Research'!Z137</f>
        <v>0</v>
      </c>
      <c r="I137" s="6" t="n">
        <f aca="false">'Zoning Research'!AE137</f>
        <v>0</v>
      </c>
      <c r="J137" s="12" t="n">
        <f aca="false">'Zoning Research'!AF137</f>
        <v>0</v>
      </c>
      <c r="K137" s="6" t="n">
        <f aca="false">'Zoning Research'!AG137</f>
        <v>0</v>
      </c>
      <c r="L137" s="6" t="n">
        <f aca="false">'Zoning Research'!AH137</f>
        <v>0</v>
      </c>
      <c r="M137" s="6" t="n">
        <f aca="false">'Zoning Research'!AI137</f>
        <v>0</v>
      </c>
      <c r="N137" s="6"/>
      <c r="O137" s="6"/>
      <c r="P137" s="6"/>
    </row>
    <row r="138" customFormat="false" ht="15" hidden="false" customHeight="false" outlineLevel="0" collapsed="false">
      <c r="A138" s="2" t="s">
        <v>189</v>
      </c>
      <c r="B138" s="2" t="s">
        <v>177</v>
      </c>
      <c r="C138" s="3" t="n">
        <v>69000</v>
      </c>
      <c r="D138" s="2" t="s">
        <v>403</v>
      </c>
      <c r="E138" s="6" t="n">
        <f aca="false">'Zoning Research'!G138</f>
        <v>0</v>
      </c>
      <c r="F138" s="6" t="n">
        <f aca="false">'Zoning Research'!Q138</f>
        <v>0</v>
      </c>
      <c r="G138" s="6" t="n">
        <f aca="false">'Zoning Research'!V138</f>
        <v>0</v>
      </c>
      <c r="H138" s="6" t="n">
        <f aca="false">'Zoning Research'!Z138</f>
        <v>0</v>
      </c>
      <c r="I138" s="6" t="n">
        <f aca="false">'Zoning Research'!AE138</f>
        <v>0</v>
      </c>
      <c r="J138" s="12" t="n">
        <f aca="false">'Zoning Research'!AF138</f>
        <v>0</v>
      </c>
      <c r="K138" s="6" t="n">
        <f aca="false">'Zoning Research'!AG138</f>
        <v>0</v>
      </c>
      <c r="L138" s="6" t="n">
        <f aca="false">'Zoning Research'!AH138</f>
        <v>0</v>
      </c>
      <c r="M138" s="6" t="n">
        <f aca="false">'Zoning Research'!AI138</f>
        <v>0</v>
      </c>
      <c r="N138" s="6"/>
      <c r="O138" s="6"/>
      <c r="P138" s="6"/>
    </row>
    <row r="139" customFormat="false" ht="15" hidden="false" customHeight="false" outlineLevel="0" collapsed="false">
      <c r="A139" s="2" t="s">
        <v>190</v>
      </c>
      <c r="B139" s="2" t="s">
        <v>177</v>
      </c>
      <c r="C139" s="3" t="n">
        <v>69000</v>
      </c>
      <c r="D139" s="2" t="s">
        <v>403</v>
      </c>
      <c r="E139" s="6" t="n">
        <f aca="false">'Zoning Research'!G139</f>
        <v>0</v>
      </c>
      <c r="F139" s="6" t="n">
        <f aca="false">'Zoning Research'!Q139</f>
        <v>0</v>
      </c>
      <c r="G139" s="6" t="n">
        <f aca="false">'Zoning Research'!V139</f>
        <v>0</v>
      </c>
      <c r="H139" s="6" t="n">
        <f aca="false">'Zoning Research'!Z139</f>
        <v>0</v>
      </c>
      <c r="I139" s="6" t="n">
        <f aca="false">'Zoning Research'!AE139</f>
        <v>0</v>
      </c>
      <c r="J139" s="12" t="n">
        <f aca="false">'Zoning Research'!AF139</f>
        <v>0</v>
      </c>
      <c r="K139" s="6" t="n">
        <f aca="false">'Zoning Research'!AG139</f>
        <v>0</v>
      </c>
      <c r="L139" s="6" t="n">
        <f aca="false">'Zoning Research'!AH139</f>
        <v>0</v>
      </c>
      <c r="M139" s="6" t="n">
        <f aca="false">'Zoning Research'!AI139</f>
        <v>0</v>
      </c>
      <c r="N139" s="6"/>
      <c r="O139" s="6"/>
      <c r="P139" s="6"/>
    </row>
    <row r="140" customFormat="false" ht="15" hidden="false" customHeight="false" outlineLevel="0" collapsed="false">
      <c r="A140" s="2" t="s">
        <v>191</v>
      </c>
      <c r="B140" s="2" t="s">
        <v>177</v>
      </c>
      <c r="C140" s="3" t="n">
        <v>67000</v>
      </c>
      <c r="D140" s="2" t="s">
        <v>403</v>
      </c>
      <c r="E140" s="6" t="n">
        <f aca="false">'Zoning Research'!G140</f>
        <v>0</v>
      </c>
      <c r="F140" s="6" t="n">
        <f aca="false">'Zoning Research'!Q140</f>
        <v>0</v>
      </c>
      <c r="G140" s="6" t="n">
        <f aca="false">'Zoning Research'!V140</f>
        <v>0</v>
      </c>
      <c r="H140" s="6" t="n">
        <f aca="false">'Zoning Research'!Z140</f>
        <v>0</v>
      </c>
      <c r="I140" s="6" t="n">
        <f aca="false">'Zoning Research'!AE140</f>
        <v>0</v>
      </c>
      <c r="J140" s="12" t="n">
        <f aca="false">'Zoning Research'!AF140</f>
        <v>0</v>
      </c>
      <c r="K140" s="6" t="n">
        <f aca="false">'Zoning Research'!AG140</f>
        <v>0</v>
      </c>
      <c r="L140" s="6" t="n">
        <f aca="false">'Zoning Research'!AH140</f>
        <v>0</v>
      </c>
      <c r="M140" s="6" t="n">
        <f aca="false">'Zoning Research'!AI140</f>
        <v>0</v>
      </c>
      <c r="N140" s="6"/>
      <c r="O140" s="6"/>
      <c r="P140" s="6"/>
    </row>
    <row r="141" customFormat="false" ht="15" hidden="false" customHeight="false" outlineLevel="0" collapsed="false">
      <c r="A141" s="2" t="s">
        <v>193</v>
      </c>
      <c r="B141" s="2" t="s">
        <v>177</v>
      </c>
      <c r="C141" s="3" t="n">
        <v>65000</v>
      </c>
      <c r="D141" s="2" t="s">
        <v>403</v>
      </c>
      <c r="E141" s="6" t="n">
        <f aca="false">'Zoning Research'!G141</f>
        <v>0</v>
      </c>
      <c r="F141" s="6" t="n">
        <f aca="false">'Zoning Research'!Q141</f>
        <v>0</v>
      </c>
      <c r="G141" s="6" t="n">
        <f aca="false">'Zoning Research'!V141</f>
        <v>0</v>
      </c>
      <c r="H141" s="6" t="n">
        <f aca="false">'Zoning Research'!Z141</f>
        <v>0</v>
      </c>
      <c r="I141" s="6" t="n">
        <f aca="false">'Zoning Research'!AE141</f>
        <v>0</v>
      </c>
      <c r="J141" s="12" t="n">
        <f aca="false">'Zoning Research'!AF141</f>
        <v>0</v>
      </c>
      <c r="K141" s="6" t="n">
        <f aca="false">'Zoning Research'!AG141</f>
        <v>0</v>
      </c>
      <c r="L141" s="6" t="n">
        <f aca="false">'Zoning Research'!AH141</f>
        <v>0</v>
      </c>
      <c r="M141" s="6" t="n">
        <f aca="false">'Zoning Research'!AI141</f>
        <v>0</v>
      </c>
      <c r="N141" s="6"/>
      <c r="O141" s="6"/>
      <c r="P141" s="6"/>
    </row>
    <row r="142" customFormat="false" ht="15" hidden="false" customHeight="false" outlineLevel="0" collapsed="false">
      <c r="A142" s="2" t="s">
        <v>195</v>
      </c>
      <c r="B142" s="2" t="s">
        <v>177</v>
      </c>
      <c r="C142" s="3" t="n">
        <v>61000</v>
      </c>
      <c r="D142" s="2" t="s">
        <v>403</v>
      </c>
      <c r="E142" s="6" t="n">
        <f aca="false">'Zoning Research'!G142</f>
        <v>0</v>
      </c>
      <c r="F142" s="6" t="n">
        <f aca="false">'Zoning Research'!Q142</f>
        <v>0</v>
      </c>
      <c r="G142" s="6" t="n">
        <f aca="false">'Zoning Research'!V142</f>
        <v>0</v>
      </c>
      <c r="H142" s="6" t="n">
        <f aca="false">'Zoning Research'!Z142</f>
        <v>0</v>
      </c>
      <c r="I142" s="6" t="n">
        <f aca="false">'Zoning Research'!AE142</f>
        <v>0</v>
      </c>
      <c r="J142" s="12" t="n">
        <f aca="false">'Zoning Research'!AF142</f>
        <v>0</v>
      </c>
      <c r="K142" s="6" t="n">
        <f aca="false">'Zoning Research'!AG142</f>
        <v>0</v>
      </c>
      <c r="L142" s="6" t="n">
        <f aca="false">'Zoning Research'!AH142</f>
        <v>0</v>
      </c>
      <c r="M142" s="6" t="n">
        <f aca="false">'Zoning Research'!AI142</f>
        <v>0</v>
      </c>
      <c r="N142" s="6"/>
      <c r="O142" s="6"/>
      <c r="P142" s="6"/>
    </row>
    <row r="143" customFormat="false" ht="15" hidden="false" customHeight="false" outlineLevel="0" collapsed="false">
      <c r="A143" s="2" t="s">
        <v>197</v>
      </c>
      <c r="B143" s="2" t="s">
        <v>177</v>
      </c>
      <c r="C143" s="3" t="n">
        <v>58000</v>
      </c>
      <c r="D143" s="2" t="s">
        <v>403</v>
      </c>
      <c r="E143" s="6" t="n">
        <f aca="false">'Zoning Research'!G143</f>
        <v>0</v>
      </c>
      <c r="F143" s="6" t="n">
        <f aca="false">'Zoning Research'!Q143</f>
        <v>0</v>
      </c>
      <c r="G143" s="6" t="n">
        <f aca="false">'Zoning Research'!V143</f>
        <v>0</v>
      </c>
      <c r="H143" s="6" t="n">
        <f aca="false">'Zoning Research'!Z143</f>
        <v>0</v>
      </c>
      <c r="I143" s="6" t="n">
        <f aca="false">'Zoning Research'!AE143</f>
        <v>0</v>
      </c>
      <c r="J143" s="12" t="n">
        <f aca="false">'Zoning Research'!AF143</f>
        <v>0</v>
      </c>
      <c r="K143" s="6" t="n">
        <f aca="false">'Zoning Research'!AG143</f>
        <v>0</v>
      </c>
      <c r="L143" s="6" t="n">
        <f aca="false">'Zoning Research'!AH143</f>
        <v>0</v>
      </c>
      <c r="M143" s="6" t="n">
        <f aca="false">'Zoning Research'!AI143</f>
        <v>0</v>
      </c>
      <c r="N143" s="6"/>
      <c r="O143" s="6"/>
      <c r="P143" s="6"/>
    </row>
    <row r="144" customFormat="false" ht="15" hidden="false" customHeight="false" outlineLevel="0" collapsed="false">
      <c r="A144" s="2" t="s">
        <v>199</v>
      </c>
      <c r="B144" s="2" t="s">
        <v>177</v>
      </c>
      <c r="C144" s="3" t="n">
        <v>58000</v>
      </c>
      <c r="D144" s="2" t="s">
        <v>403</v>
      </c>
      <c r="E144" s="6" t="n">
        <f aca="false">'Zoning Research'!G144</f>
        <v>0</v>
      </c>
      <c r="F144" s="6" t="n">
        <f aca="false">'Zoning Research'!Q144</f>
        <v>0</v>
      </c>
      <c r="G144" s="6" t="n">
        <f aca="false">'Zoning Research'!V144</f>
        <v>0</v>
      </c>
      <c r="H144" s="6" t="n">
        <f aca="false">'Zoning Research'!Z144</f>
        <v>0</v>
      </c>
      <c r="I144" s="6" t="n">
        <f aca="false">'Zoning Research'!AE144</f>
        <v>0</v>
      </c>
      <c r="J144" s="12" t="n">
        <f aca="false">'Zoning Research'!AF144</f>
        <v>0</v>
      </c>
      <c r="K144" s="6" t="n">
        <f aca="false">'Zoning Research'!AG144</f>
        <v>0</v>
      </c>
      <c r="L144" s="6" t="n">
        <f aca="false">'Zoning Research'!AH144</f>
        <v>0</v>
      </c>
      <c r="M144" s="6" t="n">
        <f aca="false">'Zoning Research'!AI144</f>
        <v>0</v>
      </c>
      <c r="N144" s="6"/>
      <c r="O144" s="6"/>
      <c r="P144" s="6"/>
    </row>
    <row r="145" customFormat="false" ht="15" hidden="false" customHeight="false" outlineLevel="0" collapsed="false">
      <c r="A145" s="2" t="s">
        <v>201</v>
      </c>
      <c r="B145" s="2" t="s">
        <v>177</v>
      </c>
      <c r="C145" s="3" t="n">
        <v>55000</v>
      </c>
      <c r="D145" s="2" t="s">
        <v>403</v>
      </c>
      <c r="E145" s="6" t="n">
        <f aca="false">'Zoning Research'!G145</f>
        <v>0</v>
      </c>
      <c r="F145" s="6" t="n">
        <f aca="false">'Zoning Research'!Q145</f>
        <v>0</v>
      </c>
      <c r="G145" s="6" t="n">
        <f aca="false">'Zoning Research'!V145</f>
        <v>0</v>
      </c>
      <c r="H145" s="6" t="n">
        <f aca="false">'Zoning Research'!Z145</f>
        <v>0</v>
      </c>
      <c r="I145" s="6" t="n">
        <f aca="false">'Zoning Research'!AE145</f>
        <v>0</v>
      </c>
      <c r="J145" s="12" t="n">
        <f aca="false">'Zoning Research'!AF145</f>
        <v>0</v>
      </c>
      <c r="K145" s="6" t="n">
        <f aca="false">'Zoning Research'!AG145</f>
        <v>0</v>
      </c>
      <c r="L145" s="6" t="n">
        <f aca="false">'Zoning Research'!AH145</f>
        <v>0</v>
      </c>
      <c r="M145" s="6" t="n">
        <f aca="false">'Zoning Research'!AI145</f>
        <v>0</v>
      </c>
      <c r="N145" s="6"/>
      <c r="O145" s="6"/>
      <c r="P145" s="6"/>
    </row>
    <row r="146" customFormat="false" ht="15" hidden="false" customHeight="false" outlineLevel="0" collapsed="false">
      <c r="A146" s="2" t="s">
        <v>202</v>
      </c>
      <c r="B146" s="2" t="s">
        <v>177</v>
      </c>
      <c r="C146" s="3" t="n">
        <v>53000</v>
      </c>
      <c r="D146" s="2" t="s">
        <v>403</v>
      </c>
      <c r="E146" s="6" t="n">
        <f aca="false">'Zoning Research'!G146</f>
        <v>0</v>
      </c>
      <c r="F146" s="6" t="n">
        <f aca="false">'Zoning Research'!Q146</f>
        <v>0</v>
      </c>
      <c r="G146" s="6" t="n">
        <f aca="false">'Zoning Research'!V146</f>
        <v>0</v>
      </c>
      <c r="H146" s="6" t="n">
        <f aca="false">'Zoning Research'!Z146</f>
        <v>0</v>
      </c>
      <c r="I146" s="6" t="n">
        <f aca="false">'Zoning Research'!AE146</f>
        <v>0</v>
      </c>
      <c r="J146" s="12" t="n">
        <f aca="false">'Zoning Research'!AF146</f>
        <v>0</v>
      </c>
      <c r="K146" s="6" t="n">
        <f aca="false">'Zoning Research'!AG146</f>
        <v>0</v>
      </c>
      <c r="L146" s="6" t="n">
        <f aca="false">'Zoning Research'!AH146</f>
        <v>0</v>
      </c>
      <c r="M146" s="6" t="n">
        <f aca="false">'Zoning Research'!AI146</f>
        <v>0</v>
      </c>
      <c r="N146" s="6"/>
      <c r="O146" s="6"/>
      <c r="P146" s="6"/>
    </row>
    <row r="147" customFormat="false" ht="15" hidden="false" customHeight="false" outlineLevel="0" collapsed="false">
      <c r="A147" s="2" t="s">
        <v>203</v>
      </c>
      <c r="B147" s="2" t="s">
        <v>177</v>
      </c>
      <c r="C147" s="3" t="n">
        <v>49000</v>
      </c>
      <c r="D147" s="2" t="s">
        <v>403</v>
      </c>
      <c r="E147" s="6" t="n">
        <f aca="false">'Zoning Research'!G147</f>
        <v>0</v>
      </c>
      <c r="F147" s="6" t="n">
        <f aca="false">'Zoning Research'!Q147</f>
        <v>0</v>
      </c>
      <c r="G147" s="6" t="n">
        <f aca="false">'Zoning Research'!V147</f>
        <v>0</v>
      </c>
      <c r="H147" s="6" t="n">
        <f aca="false">'Zoning Research'!Z147</f>
        <v>0</v>
      </c>
      <c r="I147" s="6" t="n">
        <f aca="false">'Zoning Research'!AE147</f>
        <v>0</v>
      </c>
      <c r="J147" s="12" t="n">
        <f aca="false">'Zoning Research'!AF147</f>
        <v>0</v>
      </c>
      <c r="K147" s="6" t="n">
        <f aca="false">'Zoning Research'!AG147</f>
        <v>0</v>
      </c>
      <c r="L147" s="6" t="n">
        <f aca="false">'Zoning Research'!AH147</f>
        <v>0</v>
      </c>
      <c r="M147" s="6" t="n">
        <f aca="false">'Zoning Research'!AI147</f>
        <v>0</v>
      </c>
      <c r="N147" s="6"/>
      <c r="O147" s="6"/>
      <c r="P147" s="6"/>
    </row>
    <row r="148" customFormat="false" ht="15" hidden="false" customHeight="false" outlineLevel="0" collapsed="false">
      <c r="A148" s="2" t="s">
        <v>204</v>
      </c>
      <c r="B148" s="2" t="s">
        <v>177</v>
      </c>
      <c r="C148" s="3" t="n">
        <v>49000</v>
      </c>
      <c r="D148" s="2" t="s">
        <v>403</v>
      </c>
      <c r="E148" s="6" t="n">
        <f aca="false">'Zoning Research'!G148</f>
        <v>0</v>
      </c>
      <c r="F148" s="6" t="n">
        <f aca="false">'Zoning Research'!Q148</f>
        <v>0</v>
      </c>
      <c r="G148" s="6" t="n">
        <f aca="false">'Zoning Research'!V148</f>
        <v>0</v>
      </c>
      <c r="H148" s="6" t="n">
        <f aca="false">'Zoning Research'!Z148</f>
        <v>0</v>
      </c>
      <c r="I148" s="6" t="n">
        <f aca="false">'Zoning Research'!AE148</f>
        <v>0</v>
      </c>
      <c r="J148" s="12" t="n">
        <f aca="false">'Zoning Research'!AF148</f>
        <v>0</v>
      </c>
      <c r="K148" s="6" t="n">
        <f aca="false">'Zoning Research'!AG148</f>
        <v>0</v>
      </c>
      <c r="L148" s="6" t="n">
        <f aca="false">'Zoning Research'!AH148</f>
        <v>0</v>
      </c>
      <c r="M148" s="6" t="n">
        <f aca="false">'Zoning Research'!AI148</f>
        <v>0</v>
      </c>
      <c r="N148" s="6"/>
      <c r="O148" s="6"/>
      <c r="P148" s="6"/>
    </row>
    <row r="149" customFormat="false" ht="15" hidden="false" customHeight="false" outlineLevel="0" collapsed="false">
      <c r="A149" s="2" t="s">
        <v>205</v>
      </c>
      <c r="B149" s="2" t="s">
        <v>177</v>
      </c>
      <c r="C149" s="3" t="n">
        <v>49000</v>
      </c>
      <c r="D149" s="2" t="s">
        <v>403</v>
      </c>
      <c r="E149" s="6" t="n">
        <f aca="false">'Zoning Research'!G149</f>
        <v>0</v>
      </c>
      <c r="F149" s="6" t="n">
        <f aca="false">'Zoning Research'!Q149</f>
        <v>0</v>
      </c>
      <c r="G149" s="6" t="n">
        <f aca="false">'Zoning Research'!V149</f>
        <v>0</v>
      </c>
      <c r="H149" s="6" t="n">
        <f aca="false">'Zoning Research'!Z149</f>
        <v>0</v>
      </c>
      <c r="I149" s="6" t="n">
        <f aca="false">'Zoning Research'!AE149</f>
        <v>0</v>
      </c>
      <c r="J149" s="12" t="n">
        <f aca="false">'Zoning Research'!AF149</f>
        <v>0</v>
      </c>
      <c r="K149" s="6" t="n">
        <f aca="false">'Zoning Research'!AG149</f>
        <v>0</v>
      </c>
      <c r="L149" s="6" t="n">
        <f aca="false">'Zoning Research'!AH149</f>
        <v>0</v>
      </c>
      <c r="M149" s="6" t="n">
        <f aca="false">'Zoning Research'!AI149</f>
        <v>0</v>
      </c>
      <c r="N149" s="6"/>
      <c r="O149" s="6"/>
      <c r="P149" s="6"/>
    </row>
    <row r="150" customFormat="false" ht="15" hidden="false" customHeight="false" outlineLevel="0" collapsed="false">
      <c r="A150" s="2" t="s">
        <v>207</v>
      </c>
      <c r="B150" s="2" t="s">
        <v>177</v>
      </c>
      <c r="C150" s="3" t="n">
        <v>47000</v>
      </c>
      <c r="D150" s="2" t="s">
        <v>403</v>
      </c>
      <c r="E150" s="6" t="n">
        <f aca="false">'Zoning Research'!G150</f>
        <v>0</v>
      </c>
      <c r="F150" s="6" t="n">
        <f aca="false">'Zoning Research'!Q150</f>
        <v>0</v>
      </c>
      <c r="G150" s="6" t="n">
        <f aca="false">'Zoning Research'!V150</f>
        <v>0</v>
      </c>
      <c r="H150" s="6" t="n">
        <f aca="false">'Zoning Research'!Z150</f>
        <v>0</v>
      </c>
      <c r="I150" s="6" t="n">
        <f aca="false">'Zoning Research'!AE150</f>
        <v>0</v>
      </c>
      <c r="J150" s="12" t="n">
        <f aca="false">'Zoning Research'!AF150</f>
        <v>0</v>
      </c>
      <c r="K150" s="6" t="n">
        <f aca="false">'Zoning Research'!AG150</f>
        <v>0</v>
      </c>
      <c r="L150" s="6" t="n">
        <f aca="false">'Zoning Research'!AH150</f>
        <v>0</v>
      </c>
      <c r="M150" s="6" t="n">
        <f aca="false">'Zoning Research'!AI150</f>
        <v>0</v>
      </c>
      <c r="N150" s="6"/>
      <c r="O150" s="6"/>
      <c r="P150" s="6"/>
    </row>
    <row r="151" customFormat="false" ht="15" hidden="false" customHeight="false" outlineLevel="0" collapsed="false">
      <c r="A151" s="2" t="s">
        <v>209</v>
      </c>
      <c r="B151" s="2" t="s">
        <v>177</v>
      </c>
      <c r="C151" s="3" t="n">
        <v>46000</v>
      </c>
      <c r="D151" s="2" t="s">
        <v>403</v>
      </c>
      <c r="E151" s="6" t="n">
        <f aca="false">'Zoning Research'!G151</f>
        <v>0</v>
      </c>
      <c r="F151" s="6" t="n">
        <f aca="false">'Zoning Research'!Q151</f>
        <v>0</v>
      </c>
      <c r="G151" s="6" t="n">
        <f aca="false">'Zoning Research'!V151</f>
        <v>0</v>
      </c>
      <c r="H151" s="6" t="n">
        <f aca="false">'Zoning Research'!Z151</f>
        <v>0</v>
      </c>
      <c r="I151" s="6" t="n">
        <f aca="false">'Zoning Research'!AE151</f>
        <v>0</v>
      </c>
      <c r="J151" s="12" t="n">
        <f aca="false">'Zoning Research'!AF151</f>
        <v>0</v>
      </c>
      <c r="K151" s="6" t="n">
        <f aca="false">'Zoning Research'!AG151</f>
        <v>0</v>
      </c>
      <c r="L151" s="6" t="n">
        <f aca="false">'Zoning Research'!AH151</f>
        <v>0</v>
      </c>
      <c r="M151" s="6" t="n">
        <f aca="false">'Zoning Research'!AI151</f>
        <v>0</v>
      </c>
      <c r="N151" s="6"/>
      <c r="O151" s="6"/>
      <c r="P151" s="6"/>
    </row>
    <row r="152" customFormat="false" ht="15" hidden="false" customHeight="false" outlineLevel="0" collapsed="false">
      <c r="A152" s="2" t="s">
        <v>210</v>
      </c>
      <c r="B152" s="2" t="s">
        <v>177</v>
      </c>
      <c r="C152" s="3" t="n">
        <v>44000</v>
      </c>
      <c r="D152" s="2" t="s">
        <v>403</v>
      </c>
      <c r="E152" s="6" t="n">
        <f aca="false">'Zoning Research'!G152</f>
        <v>0</v>
      </c>
      <c r="F152" s="6" t="n">
        <f aca="false">'Zoning Research'!Q152</f>
        <v>0</v>
      </c>
      <c r="G152" s="6" t="n">
        <f aca="false">'Zoning Research'!V152</f>
        <v>0</v>
      </c>
      <c r="H152" s="6" t="n">
        <f aca="false">'Zoning Research'!Z152</f>
        <v>0</v>
      </c>
      <c r="I152" s="6" t="n">
        <f aca="false">'Zoning Research'!AE152</f>
        <v>0</v>
      </c>
      <c r="J152" s="12" t="n">
        <f aca="false">'Zoning Research'!AF152</f>
        <v>0</v>
      </c>
      <c r="K152" s="6" t="n">
        <f aca="false">'Zoning Research'!AG152</f>
        <v>0</v>
      </c>
      <c r="L152" s="6" t="n">
        <f aca="false">'Zoning Research'!AH152</f>
        <v>0</v>
      </c>
      <c r="M152" s="6" t="n">
        <f aca="false">'Zoning Research'!AI152</f>
        <v>0</v>
      </c>
      <c r="N152" s="6"/>
      <c r="O152" s="6"/>
      <c r="P152" s="6"/>
    </row>
    <row r="153" customFormat="false" ht="15" hidden="false" customHeight="false" outlineLevel="0" collapsed="false">
      <c r="A153" s="2" t="s">
        <v>211</v>
      </c>
      <c r="B153" s="2" t="s">
        <v>177</v>
      </c>
      <c r="C153" s="3" t="n">
        <v>37000</v>
      </c>
      <c r="D153" s="2" t="s">
        <v>403</v>
      </c>
      <c r="E153" s="6" t="n">
        <f aca="false">'Zoning Research'!G153</f>
        <v>0</v>
      </c>
      <c r="F153" s="6" t="n">
        <f aca="false">'Zoning Research'!Q153</f>
        <v>0</v>
      </c>
      <c r="G153" s="6" t="n">
        <f aca="false">'Zoning Research'!V153</f>
        <v>0</v>
      </c>
      <c r="H153" s="6" t="n">
        <f aca="false">'Zoning Research'!Z153</f>
        <v>0</v>
      </c>
      <c r="I153" s="6" t="n">
        <f aca="false">'Zoning Research'!AE153</f>
        <v>0</v>
      </c>
      <c r="J153" s="12" t="n">
        <f aca="false">'Zoning Research'!AF153</f>
        <v>0</v>
      </c>
      <c r="K153" s="6" t="n">
        <f aca="false">'Zoning Research'!AG153</f>
        <v>0</v>
      </c>
      <c r="L153" s="6" t="n">
        <f aca="false">'Zoning Research'!AH153</f>
        <v>0</v>
      </c>
      <c r="M153" s="6" t="n">
        <f aca="false">'Zoning Research'!AI153</f>
        <v>0</v>
      </c>
      <c r="N153" s="6"/>
      <c r="O153" s="6"/>
      <c r="P153" s="6"/>
    </row>
    <row r="154" customFormat="false" ht="15" hidden="false" customHeight="false" outlineLevel="0" collapsed="false">
      <c r="A154" s="2" t="s">
        <v>213</v>
      </c>
      <c r="B154" s="2" t="s">
        <v>177</v>
      </c>
      <c r="C154" s="3" t="n">
        <v>37000</v>
      </c>
      <c r="D154" s="2" t="s">
        <v>403</v>
      </c>
      <c r="E154" s="6" t="n">
        <f aca="false">'Zoning Research'!G154</f>
        <v>0</v>
      </c>
      <c r="F154" s="6" t="n">
        <f aca="false">'Zoning Research'!Q154</f>
        <v>0</v>
      </c>
      <c r="G154" s="6" t="n">
        <f aca="false">'Zoning Research'!V154</f>
        <v>0</v>
      </c>
      <c r="H154" s="6" t="n">
        <f aca="false">'Zoning Research'!Z154</f>
        <v>0</v>
      </c>
      <c r="I154" s="6" t="n">
        <f aca="false">'Zoning Research'!AE154</f>
        <v>0</v>
      </c>
      <c r="J154" s="12" t="n">
        <f aca="false">'Zoning Research'!AF154</f>
        <v>0</v>
      </c>
      <c r="K154" s="6" t="n">
        <f aca="false">'Zoning Research'!AG154</f>
        <v>0</v>
      </c>
      <c r="L154" s="6" t="n">
        <f aca="false">'Zoning Research'!AH154</f>
        <v>0</v>
      </c>
      <c r="M154" s="6" t="n">
        <f aca="false">'Zoning Research'!AI154</f>
        <v>0</v>
      </c>
      <c r="N154" s="6"/>
      <c r="O154" s="6"/>
      <c r="P154" s="6"/>
    </row>
    <row r="155" customFormat="false" ht="15" hidden="false" customHeight="false" outlineLevel="0" collapsed="false">
      <c r="A155" s="2" t="s">
        <v>215</v>
      </c>
      <c r="B155" s="2" t="s">
        <v>177</v>
      </c>
      <c r="C155" s="3" t="n">
        <v>35000</v>
      </c>
      <c r="D155" s="2" t="s">
        <v>403</v>
      </c>
      <c r="E155" s="6" t="n">
        <f aca="false">'Zoning Research'!G155</f>
        <v>0</v>
      </c>
      <c r="F155" s="6" t="n">
        <f aca="false">'Zoning Research'!Q155</f>
        <v>0</v>
      </c>
      <c r="G155" s="6" t="n">
        <f aca="false">'Zoning Research'!V155</f>
        <v>0</v>
      </c>
      <c r="H155" s="6" t="n">
        <f aca="false">'Zoning Research'!Z155</f>
        <v>0</v>
      </c>
      <c r="I155" s="6" t="n">
        <f aca="false">'Zoning Research'!AE155</f>
        <v>0</v>
      </c>
      <c r="J155" s="12" t="n">
        <f aca="false">'Zoning Research'!AF155</f>
        <v>0</v>
      </c>
      <c r="K155" s="6" t="n">
        <f aca="false">'Zoning Research'!AG155</f>
        <v>0</v>
      </c>
      <c r="L155" s="6" t="n">
        <f aca="false">'Zoning Research'!AH155</f>
        <v>0</v>
      </c>
      <c r="M155" s="6" t="n">
        <f aca="false">'Zoning Research'!AI155</f>
        <v>0</v>
      </c>
      <c r="N155" s="6"/>
      <c r="O155" s="6"/>
      <c r="P155" s="6"/>
    </row>
    <row r="156" customFormat="false" ht="15" hidden="false" customHeight="false" outlineLevel="0" collapsed="false">
      <c r="A156" s="2" t="s">
        <v>216</v>
      </c>
      <c r="B156" s="2" t="s">
        <v>177</v>
      </c>
      <c r="C156" s="3" t="n">
        <v>35000</v>
      </c>
      <c r="D156" s="2" t="s">
        <v>403</v>
      </c>
      <c r="E156" s="6" t="n">
        <f aca="false">'Zoning Research'!G156</f>
        <v>0</v>
      </c>
      <c r="F156" s="6" t="n">
        <f aca="false">'Zoning Research'!Q156</f>
        <v>0</v>
      </c>
      <c r="G156" s="6" t="n">
        <f aca="false">'Zoning Research'!V156</f>
        <v>0</v>
      </c>
      <c r="H156" s="6" t="n">
        <f aca="false">'Zoning Research'!Z156</f>
        <v>0</v>
      </c>
      <c r="I156" s="6" t="n">
        <f aca="false">'Zoning Research'!AE156</f>
        <v>0</v>
      </c>
      <c r="J156" s="12" t="n">
        <f aca="false">'Zoning Research'!AF156</f>
        <v>0</v>
      </c>
      <c r="K156" s="6" t="n">
        <f aca="false">'Zoning Research'!AG156</f>
        <v>0</v>
      </c>
      <c r="L156" s="6" t="n">
        <f aca="false">'Zoning Research'!AH156</f>
        <v>0</v>
      </c>
      <c r="M156" s="6" t="n">
        <f aca="false">'Zoning Research'!AI156</f>
        <v>0</v>
      </c>
      <c r="N156" s="6"/>
      <c r="O156" s="6"/>
      <c r="P156" s="6"/>
    </row>
    <row r="157" customFormat="false" ht="15" hidden="false" customHeight="false" outlineLevel="0" collapsed="false">
      <c r="A157" s="2" t="s">
        <v>218</v>
      </c>
      <c r="B157" s="2" t="s">
        <v>177</v>
      </c>
      <c r="C157" s="3" t="n">
        <v>34000</v>
      </c>
      <c r="D157" s="2" t="s">
        <v>403</v>
      </c>
      <c r="E157" s="6" t="n">
        <f aca="false">'Zoning Research'!G157</f>
        <v>0</v>
      </c>
      <c r="F157" s="6" t="n">
        <f aca="false">'Zoning Research'!Q157</f>
        <v>0</v>
      </c>
      <c r="G157" s="6" t="n">
        <f aca="false">'Zoning Research'!V157</f>
        <v>0</v>
      </c>
      <c r="H157" s="6" t="n">
        <f aca="false">'Zoning Research'!Z157</f>
        <v>0</v>
      </c>
      <c r="I157" s="6" t="n">
        <f aca="false">'Zoning Research'!AE157</f>
        <v>0</v>
      </c>
      <c r="J157" s="12" t="n">
        <f aca="false">'Zoning Research'!AF157</f>
        <v>0</v>
      </c>
      <c r="K157" s="6" t="n">
        <f aca="false">'Zoning Research'!AG157</f>
        <v>0</v>
      </c>
      <c r="L157" s="6" t="n">
        <f aca="false">'Zoning Research'!AH157</f>
        <v>0</v>
      </c>
      <c r="M157" s="6" t="n">
        <f aca="false">'Zoning Research'!AI157</f>
        <v>0</v>
      </c>
      <c r="N157" s="6"/>
      <c r="O157" s="6"/>
      <c r="P157" s="6"/>
    </row>
    <row r="158" customFormat="false" ht="15" hidden="false" customHeight="false" outlineLevel="0" collapsed="false">
      <c r="A158" s="2" t="s">
        <v>219</v>
      </c>
      <c r="B158" s="2" t="s">
        <v>177</v>
      </c>
      <c r="C158" s="3" t="n">
        <v>34000</v>
      </c>
      <c r="D158" s="2" t="s">
        <v>403</v>
      </c>
      <c r="E158" s="6" t="n">
        <f aca="false">'Zoning Research'!G158</f>
        <v>0</v>
      </c>
      <c r="F158" s="6" t="n">
        <f aca="false">'Zoning Research'!Q158</f>
        <v>0</v>
      </c>
      <c r="G158" s="6" t="n">
        <f aca="false">'Zoning Research'!V158</f>
        <v>0</v>
      </c>
      <c r="H158" s="6" t="n">
        <f aca="false">'Zoning Research'!Z158</f>
        <v>0</v>
      </c>
      <c r="I158" s="6" t="n">
        <f aca="false">'Zoning Research'!AE158</f>
        <v>0</v>
      </c>
      <c r="J158" s="12" t="n">
        <f aca="false">'Zoning Research'!AF158</f>
        <v>0</v>
      </c>
      <c r="K158" s="6" t="n">
        <f aca="false">'Zoning Research'!AG158</f>
        <v>0</v>
      </c>
      <c r="L158" s="6" t="n">
        <f aca="false">'Zoning Research'!AH158</f>
        <v>0</v>
      </c>
      <c r="M158" s="6" t="n">
        <f aca="false">'Zoning Research'!AI158</f>
        <v>0</v>
      </c>
      <c r="N158" s="6"/>
      <c r="O158" s="6"/>
      <c r="P158" s="6"/>
    </row>
    <row r="159" customFormat="false" ht="15" hidden="false" customHeight="false" outlineLevel="0" collapsed="false">
      <c r="A159" s="2" t="s">
        <v>69</v>
      </c>
      <c r="B159" s="2" t="s">
        <v>177</v>
      </c>
      <c r="C159" s="3" t="n">
        <v>34000</v>
      </c>
      <c r="D159" s="2" t="s">
        <v>403</v>
      </c>
      <c r="E159" s="6" t="n">
        <f aca="false">'Zoning Research'!G159</f>
        <v>0</v>
      </c>
      <c r="F159" s="6" t="n">
        <f aca="false">'Zoning Research'!Q159</f>
        <v>0</v>
      </c>
      <c r="G159" s="6" t="n">
        <f aca="false">'Zoning Research'!V159</f>
        <v>0</v>
      </c>
      <c r="H159" s="6" t="n">
        <f aca="false">'Zoning Research'!Z159</f>
        <v>0</v>
      </c>
      <c r="I159" s="6" t="n">
        <f aca="false">'Zoning Research'!AE159</f>
        <v>0</v>
      </c>
      <c r="J159" s="12" t="n">
        <f aca="false">'Zoning Research'!AF159</f>
        <v>0</v>
      </c>
      <c r="K159" s="6" t="n">
        <f aca="false">'Zoning Research'!AG159</f>
        <v>0</v>
      </c>
      <c r="L159" s="6" t="n">
        <f aca="false">'Zoning Research'!AH159</f>
        <v>0</v>
      </c>
      <c r="M159" s="6" t="n">
        <f aca="false">'Zoning Research'!AI159</f>
        <v>0</v>
      </c>
      <c r="N159" s="6"/>
      <c r="O159" s="6"/>
      <c r="P159" s="6"/>
    </row>
    <row r="160" customFormat="false" ht="15" hidden="false" customHeight="false" outlineLevel="0" collapsed="false">
      <c r="A160" s="2" t="s">
        <v>221</v>
      </c>
      <c r="B160" s="2" t="s">
        <v>177</v>
      </c>
      <c r="C160" s="3" t="n">
        <v>31000</v>
      </c>
      <c r="D160" s="2" t="s">
        <v>403</v>
      </c>
      <c r="E160" s="6" t="n">
        <f aca="false">'Zoning Research'!G160</f>
        <v>0</v>
      </c>
      <c r="F160" s="6" t="n">
        <f aca="false">'Zoning Research'!Q160</f>
        <v>0</v>
      </c>
      <c r="G160" s="6" t="n">
        <f aca="false">'Zoning Research'!V160</f>
        <v>0</v>
      </c>
      <c r="H160" s="6" t="n">
        <f aca="false">'Zoning Research'!Z160</f>
        <v>0</v>
      </c>
      <c r="I160" s="6" t="n">
        <f aca="false">'Zoning Research'!AE160</f>
        <v>0</v>
      </c>
      <c r="J160" s="12" t="n">
        <f aca="false">'Zoning Research'!AF160</f>
        <v>0</v>
      </c>
      <c r="K160" s="6" t="n">
        <f aca="false">'Zoning Research'!AG160</f>
        <v>0</v>
      </c>
      <c r="L160" s="6" t="n">
        <f aca="false">'Zoning Research'!AH160</f>
        <v>0</v>
      </c>
      <c r="M160" s="6" t="n">
        <f aca="false">'Zoning Research'!AI160</f>
        <v>0</v>
      </c>
      <c r="N160" s="6"/>
      <c r="O160" s="6"/>
      <c r="P160" s="6"/>
    </row>
    <row r="161" customFormat="false" ht="15" hidden="false" customHeight="false" outlineLevel="0" collapsed="false">
      <c r="A161" s="2" t="s">
        <v>223</v>
      </c>
      <c r="B161" s="2" t="s">
        <v>177</v>
      </c>
      <c r="C161" s="3" t="n">
        <v>30000</v>
      </c>
      <c r="D161" s="2" t="s">
        <v>403</v>
      </c>
      <c r="E161" s="6" t="n">
        <f aca="false">'Zoning Research'!G161</f>
        <v>0</v>
      </c>
      <c r="F161" s="6" t="n">
        <f aca="false">'Zoning Research'!Q161</f>
        <v>0</v>
      </c>
      <c r="G161" s="6" t="n">
        <f aca="false">'Zoning Research'!V161</f>
        <v>0</v>
      </c>
      <c r="H161" s="6" t="n">
        <f aca="false">'Zoning Research'!Z161</f>
        <v>0</v>
      </c>
      <c r="I161" s="6" t="n">
        <f aca="false">'Zoning Research'!AE161</f>
        <v>0</v>
      </c>
      <c r="J161" s="12" t="n">
        <f aca="false">'Zoning Research'!AF161</f>
        <v>0</v>
      </c>
      <c r="K161" s="6" t="n">
        <f aca="false">'Zoning Research'!AG161</f>
        <v>0</v>
      </c>
      <c r="L161" s="6" t="n">
        <f aca="false">'Zoning Research'!AH161</f>
        <v>0</v>
      </c>
      <c r="M161" s="6" t="n">
        <f aca="false">'Zoning Research'!AI161</f>
        <v>0</v>
      </c>
      <c r="N161" s="6"/>
      <c r="O161" s="6"/>
      <c r="P161" s="6"/>
    </row>
    <row r="162" customFormat="false" ht="15" hidden="false" customHeight="false" outlineLevel="0" collapsed="false">
      <c r="A162" s="2" t="s">
        <v>224</v>
      </c>
      <c r="B162" s="2" t="s">
        <v>177</v>
      </c>
      <c r="C162" s="3" t="n">
        <v>30000</v>
      </c>
      <c r="D162" s="2" t="s">
        <v>403</v>
      </c>
      <c r="E162" s="6" t="n">
        <f aca="false">'Zoning Research'!G162</f>
        <v>0</v>
      </c>
      <c r="F162" s="6" t="n">
        <f aca="false">'Zoning Research'!Q162</f>
        <v>0</v>
      </c>
      <c r="G162" s="6" t="n">
        <f aca="false">'Zoning Research'!V162</f>
        <v>0</v>
      </c>
      <c r="H162" s="6" t="n">
        <f aca="false">'Zoning Research'!Z162</f>
        <v>0</v>
      </c>
      <c r="I162" s="6" t="n">
        <f aca="false">'Zoning Research'!AE162</f>
        <v>0</v>
      </c>
      <c r="J162" s="12" t="n">
        <f aca="false">'Zoning Research'!AF162</f>
        <v>0</v>
      </c>
      <c r="K162" s="6" t="n">
        <f aca="false">'Zoning Research'!AG162</f>
        <v>0</v>
      </c>
      <c r="L162" s="6" t="n">
        <f aca="false">'Zoning Research'!AH162</f>
        <v>0</v>
      </c>
      <c r="M162" s="6" t="n">
        <f aca="false">'Zoning Research'!AI162</f>
        <v>0</v>
      </c>
      <c r="N162" s="6"/>
      <c r="O162" s="6"/>
      <c r="P162" s="6"/>
    </row>
    <row r="163" customFormat="false" ht="15" hidden="false" customHeight="false" outlineLevel="0" collapsed="false">
      <c r="A163" s="2" t="s">
        <v>225</v>
      </c>
      <c r="B163" s="2" t="s">
        <v>177</v>
      </c>
      <c r="C163" s="3" t="n">
        <v>29000</v>
      </c>
      <c r="D163" s="2" t="s">
        <v>403</v>
      </c>
      <c r="E163" s="6" t="n">
        <f aca="false">'Zoning Research'!G163</f>
        <v>0</v>
      </c>
      <c r="F163" s="6" t="n">
        <f aca="false">'Zoning Research'!Q163</f>
        <v>0</v>
      </c>
      <c r="G163" s="6" t="n">
        <f aca="false">'Zoning Research'!V163</f>
        <v>0</v>
      </c>
      <c r="H163" s="6" t="n">
        <f aca="false">'Zoning Research'!Z163</f>
        <v>0</v>
      </c>
      <c r="I163" s="6" t="n">
        <f aca="false">'Zoning Research'!AE163</f>
        <v>0</v>
      </c>
      <c r="J163" s="12" t="n">
        <f aca="false">'Zoning Research'!AF163</f>
        <v>0</v>
      </c>
      <c r="K163" s="6" t="n">
        <f aca="false">'Zoning Research'!AG163</f>
        <v>0</v>
      </c>
      <c r="L163" s="6" t="n">
        <f aca="false">'Zoning Research'!AH163</f>
        <v>0</v>
      </c>
      <c r="M163" s="6" t="n">
        <f aca="false">'Zoning Research'!AI163</f>
        <v>0</v>
      </c>
      <c r="N163" s="6"/>
      <c r="O163" s="6"/>
      <c r="P163" s="6"/>
    </row>
    <row r="164" customFormat="false" ht="15" hidden="false" customHeight="false" outlineLevel="0" collapsed="false">
      <c r="A164" s="2" t="s">
        <v>226</v>
      </c>
      <c r="B164" s="2" t="s">
        <v>177</v>
      </c>
      <c r="C164" s="3" t="n">
        <v>28000</v>
      </c>
      <c r="D164" s="2" t="s">
        <v>403</v>
      </c>
      <c r="E164" s="6" t="n">
        <f aca="false">'Zoning Research'!G164</f>
        <v>0</v>
      </c>
      <c r="F164" s="6" t="n">
        <f aca="false">'Zoning Research'!Q164</f>
        <v>0</v>
      </c>
      <c r="G164" s="6" t="n">
        <f aca="false">'Zoning Research'!V164</f>
        <v>0</v>
      </c>
      <c r="H164" s="6" t="n">
        <f aca="false">'Zoning Research'!Z164</f>
        <v>0</v>
      </c>
      <c r="I164" s="6" t="n">
        <f aca="false">'Zoning Research'!AE164</f>
        <v>0</v>
      </c>
      <c r="J164" s="12" t="n">
        <f aca="false">'Zoning Research'!AF164</f>
        <v>0</v>
      </c>
      <c r="K164" s="6" t="n">
        <f aca="false">'Zoning Research'!AG164</f>
        <v>0</v>
      </c>
      <c r="L164" s="6" t="n">
        <f aca="false">'Zoning Research'!AH164</f>
        <v>0</v>
      </c>
      <c r="M164" s="6" t="n">
        <f aca="false">'Zoning Research'!AI164</f>
        <v>0</v>
      </c>
      <c r="N164" s="6"/>
      <c r="O164" s="6"/>
      <c r="P164" s="6"/>
    </row>
    <row r="165" customFormat="false" ht="15" hidden="false" customHeight="false" outlineLevel="0" collapsed="false">
      <c r="A165" s="2" t="s">
        <v>227</v>
      </c>
      <c r="B165" s="2" t="s">
        <v>177</v>
      </c>
      <c r="C165" s="3" t="n">
        <v>28000</v>
      </c>
      <c r="D165" s="2" t="s">
        <v>403</v>
      </c>
      <c r="E165" s="6" t="n">
        <f aca="false">'Zoning Research'!G165</f>
        <v>0</v>
      </c>
      <c r="F165" s="6" t="n">
        <f aca="false">'Zoning Research'!Q165</f>
        <v>0</v>
      </c>
      <c r="G165" s="6" t="n">
        <f aca="false">'Zoning Research'!V165</f>
        <v>0</v>
      </c>
      <c r="H165" s="6" t="n">
        <f aca="false">'Zoning Research'!Z165</f>
        <v>0</v>
      </c>
      <c r="I165" s="6" t="n">
        <f aca="false">'Zoning Research'!AE165</f>
        <v>0</v>
      </c>
      <c r="J165" s="12" t="n">
        <f aca="false">'Zoning Research'!AF165</f>
        <v>0</v>
      </c>
      <c r="K165" s="6" t="n">
        <f aca="false">'Zoning Research'!AG165</f>
        <v>0</v>
      </c>
      <c r="L165" s="6" t="n">
        <f aca="false">'Zoning Research'!AH165</f>
        <v>0</v>
      </c>
      <c r="M165" s="6" t="n">
        <f aca="false">'Zoning Research'!AI165</f>
        <v>0</v>
      </c>
      <c r="N165" s="6"/>
      <c r="O165" s="6"/>
      <c r="P165" s="6"/>
    </row>
    <row r="166" customFormat="false" ht="15" hidden="false" customHeight="false" outlineLevel="0" collapsed="false">
      <c r="A166" s="2" t="s">
        <v>228</v>
      </c>
      <c r="B166" s="2" t="s">
        <v>177</v>
      </c>
      <c r="C166" s="3" t="n">
        <v>28000</v>
      </c>
      <c r="D166" s="2" t="s">
        <v>403</v>
      </c>
      <c r="E166" s="6" t="n">
        <f aca="false">'Zoning Research'!G166</f>
        <v>0</v>
      </c>
      <c r="F166" s="6" t="n">
        <f aca="false">'Zoning Research'!Q166</f>
        <v>0</v>
      </c>
      <c r="G166" s="6" t="n">
        <f aca="false">'Zoning Research'!V166</f>
        <v>0</v>
      </c>
      <c r="H166" s="6" t="n">
        <f aca="false">'Zoning Research'!Z166</f>
        <v>0</v>
      </c>
      <c r="I166" s="6" t="n">
        <f aca="false">'Zoning Research'!AE166</f>
        <v>0</v>
      </c>
      <c r="J166" s="12" t="n">
        <f aca="false">'Zoning Research'!AF166</f>
        <v>0</v>
      </c>
      <c r="K166" s="6" t="n">
        <f aca="false">'Zoning Research'!AG166</f>
        <v>0</v>
      </c>
      <c r="L166" s="6" t="n">
        <f aca="false">'Zoning Research'!AH166</f>
        <v>0</v>
      </c>
      <c r="M166" s="6" t="n">
        <f aca="false">'Zoning Research'!AI166</f>
        <v>0</v>
      </c>
      <c r="N166" s="6"/>
      <c r="O166" s="6"/>
      <c r="P166" s="6"/>
    </row>
    <row r="167" customFormat="false" ht="15" hidden="false" customHeight="false" outlineLevel="0" collapsed="false">
      <c r="A167" s="2" t="s">
        <v>152</v>
      </c>
      <c r="B167" s="2" t="s">
        <v>177</v>
      </c>
      <c r="C167" s="3" t="n">
        <v>28000</v>
      </c>
      <c r="D167" s="2" t="s">
        <v>403</v>
      </c>
      <c r="E167" s="6" t="n">
        <f aca="false">'Zoning Research'!G167</f>
        <v>0</v>
      </c>
      <c r="F167" s="6" t="n">
        <f aca="false">'Zoning Research'!Q167</f>
        <v>0</v>
      </c>
      <c r="G167" s="6" t="n">
        <f aca="false">'Zoning Research'!V167</f>
        <v>0</v>
      </c>
      <c r="H167" s="6" t="n">
        <f aca="false">'Zoning Research'!Z167</f>
        <v>0</v>
      </c>
      <c r="I167" s="6" t="n">
        <f aca="false">'Zoning Research'!AE167</f>
        <v>0</v>
      </c>
      <c r="J167" s="12" t="n">
        <f aca="false">'Zoning Research'!AF167</f>
        <v>0</v>
      </c>
      <c r="K167" s="6" t="n">
        <f aca="false">'Zoning Research'!AG167</f>
        <v>0</v>
      </c>
      <c r="L167" s="6" t="n">
        <f aca="false">'Zoning Research'!AH167</f>
        <v>0</v>
      </c>
      <c r="M167" s="6" t="n">
        <f aca="false">'Zoning Research'!AI167</f>
        <v>0</v>
      </c>
      <c r="N167" s="6"/>
      <c r="O167" s="6"/>
      <c r="P167" s="6"/>
    </row>
    <row r="168" customFormat="false" ht="15" hidden="false" customHeight="false" outlineLevel="0" collapsed="false">
      <c r="A168" s="2" t="s">
        <v>231</v>
      </c>
      <c r="B168" s="2" t="s">
        <v>177</v>
      </c>
      <c r="C168" s="3" t="n">
        <v>25000</v>
      </c>
      <c r="D168" s="2" t="s">
        <v>403</v>
      </c>
      <c r="E168" s="6" t="n">
        <f aca="false">'Zoning Research'!G168</f>
        <v>0</v>
      </c>
      <c r="F168" s="6" t="n">
        <f aca="false">'Zoning Research'!Q168</f>
        <v>0</v>
      </c>
      <c r="G168" s="6" t="n">
        <f aca="false">'Zoning Research'!V168</f>
        <v>0</v>
      </c>
      <c r="H168" s="6" t="n">
        <f aca="false">'Zoning Research'!Z168</f>
        <v>0</v>
      </c>
      <c r="I168" s="6" t="n">
        <f aca="false">'Zoning Research'!AE168</f>
        <v>0</v>
      </c>
      <c r="J168" s="12" t="n">
        <f aca="false">'Zoning Research'!AF168</f>
        <v>0</v>
      </c>
      <c r="K168" s="6" t="n">
        <f aca="false">'Zoning Research'!AG168</f>
        <v>0</v>
      </c>
      <c r="L168" s="6" t="n">
        <f aca="false">'Zoning Research'!AH168</f>
        <v>0</v>
      </c>
      <c r="M168" s="6" t="n">
        <f aca="false">'Zoning Research'!AI168</f>
        <v>0</v>
      </c>
      <c r="N168" s="6"/>
      <c r="O168" s="6"/>
      <c r="P168" s="6"/>
    </row>
    <row r="169" customFormat="false" ht="15" hidden="false" customHeight="false" outlineLevel="0" collapsed="false">
      <c r="A169" s="2" t="s">
        <v>232</v>
      </c>
      <c r="B169" s="2" t="s">
        <v>177</v>
      </c>
      <c r="C169" s="3" t="n">
        <v>23000</v>
      </c>
      <c r="D169" s="2" t="s">
        <v>403</v>
      </c>
      <c r="E169" s="6" t="n">
        <f aca="false">'Zoning Research'!G169</f>
        <v>0</v>
      </c>
      <c r="F169" s="6" t="n">
        <f aca="false">'Zoning Research'!Q169</f>
        <v>0</v>
      </c>
      <c r="G169" s="6" t="n">
        <f aca="false">'Zoning Research'!V169</f>
        <v>0</v>
      </c>
      <c r="H169" s="6" t="n">
        <f aca="false">'Zoning Research'!Z169</f>
        <v>0</v>
      </c>
      <c r="I169" s="6" t="n">
        <f aca="false">'Zoning Research'!AE169</f>
        <v>0</v>
      </c>
      <c r="J169" s="12" t="n">
        <f aca="false">'Zoning Research'!AF169</f>
        <v>0</v>
      </c>
      <c r="K169" s="6" t="n">
        <f aca="false">'Zoning Research'!AG169</f>
        <v>0</v>
      </c>
      <c r="L169" s="6" t="n">
        <f aca="false">'Zoning Research'!AH169</f>
        <v>0</v>
      </c>
      <c r="M169" s="6" t="n">
        <f aca="false">'Zoning Research'!AI169</f>
        <v>0</v>
      </c>
      <c r="N169" s="6"/>
      <c r="O169" s="6"/>
      <c r="P169" s="6"/>
    </row>
    <row r="170" customFormat="false" ht="15" hidden="false" customHeight="false" outlineLevel="0" collapsed="false">
      <c r="A170" s="2" t="s">
        <v>233</v>
      </c>
      <c r="B170" s="2" t="s">
        <v>177</v>
      </c>
      <c r="C170" s="3" t="n">
        <v>23000</v>
      </c>
      <c r="D170" s="2" t="s">
        <v>403</v>
      </c>
      <c r="E170" s="6" t="n">
        <f aca="false">'Zoning Research'!G170</f>
        <v>0</v>
      </c>
      <c r="F170" s="6" t="n">
        <f aca="false">'Zoning Research'!Q170</f>
        <v>0</v>
      </c>
      <c r="G170" s="6" t="n">
        <f aca="false">'Zoning Research'!V170</f>
        <v>0</v>
      </c>
      <c r="H170" s="6" t="n">
        <f aca="false">'Zoning Research'!Z170</f>
        <v>0</v>
      </c>
      <c r="I170" s="6" t="n">
        <f aca="false">'Zoning Research'!AE170</f>
        <v>0</v>
      </c>
      <c r="J170" s="12" t="n">
        <f aca="false">'Zoning Research'!AF170</f>
        <v>0</v>
      </c>
      <c r="K170" s="6" t="n">
        <f aca="false">'Zoning Research'!AG170</f>
        <v>0</v>
      </c>
      <c r="L170" s="6" t="n">
        <f aca="false">'Zoning Research'!AH170</f>
        <v>0</v>
      </c>
      <c r="M170" s="6" t="n">
        <f aca="false">'Zoning Research'!AI170</f>
        <v>0</v>
      </c>
      <c r="N170" s="6"/>
      <c r="O170" s="6"/>
      <c r="P170" s="6"/>
    </row>
    <row r="171" customFormat="false" ht="15" hidden="false" customHeight="false" outlineLevel="0" collapsed="false">
      <c r="A171" s="2" t="s">
        <v>234</v>
      </c>
      <c r="B171" s="2" t="s">
        <v>177</v>
      </c>
      <c r="C171" s="3" t="n">
        <v>22000</v>
      </c>
      <c r="D171" s="2" t="s">
        <v>403</v>
      </c>
      <c r="E171" s="6" t="n">
        <f aca="false">'Zoning Research'!G171</f>
        <v>0</v>
      </c>
      <c r="F171" s="6" t="n">
        <f aca="false">'Zoning Research'!Q171</f>
        <v>0</v>
      </c>
      <c r="G171" s="6" t="n">
        <f aca="false">'Zoning Research'!V171</f>
        <v>0</v>
      </c>
      <c r="H171" s="6" t="n">
        <f aca="false">'Zoning Research'!Z171</f>
        <v>0</v>
      </c>
      <c r="I171" s="6" t="n">
        <f aca="false">'Zoning Research'!AE171</f>
        <v>0</v>
      </c>
      <c r="J171" s="12" t="n">
        <f aca="false">'Zoning Research'!AF171</f>
        <v>0</v>
      </c>
      <c r="K171" s="6" t="n">
        <f aca="false">'Zoning Research'!AG171</f>
        <v>0</v>
      </c>
      <c r="L171" s="6" t="n">
        <f aca="false">'Zoning Research'!AH171</f>
        <v>0</v>
      </c>
      <c r="M171" s="6" t="n">
        <f aca="false">'Zoning Research'!AI171</f>
        <v>0</v>
      </c>
      <c r="N171" s="6"/>
      <c r="O171" s="6"/>
      <c r="P171" s="6"/>
    </row>
    <row r="172" customFormat="false" ht="15" hidden="false" customHeight="false" outlineLevel="0" collapsed="false">
      <c r="A172" s="2" t="s">
        <v>235</v>
      </c>
      <c r="B172" s="2" t="s">
        <v>177</v>
      </c>
      <c r="C172" s="3" t="n">
        <v>21000</v>
      </c>
      <c r="D172" s="2" t="s">
        <v>403</v>
      </c>
      <c r="E172" s="6" t="n">
        <f aca="false">'Zoning Research'!G172</f>
        <v>0</v>
      </c>
      <c r="F172" s="6" t="n">
        <f aca="false">'Zoning Research'!Q172</f>
        <v>0</v>
      </c>
      <c r="G172" s="6" t="n">
        <f aca="false">'Zoning Research'!V172</f>
        <v>0</v>
      </c>
      <c r="H172" s="6" t="n">
        <f aca="false">'Zoning Research'!Z172</f>
        <v>0</v>
      </c>
      <c r="I172" s="6" t="n">
        <f aca="false">'Zoning Research'!AE172</f>
        <v>0</v>
      </c>
      <c r="J172" s="12" t="n">
        <f aca="false">'Zoning Research'!AF172</f>
        <v>0</v>
      </c>
      <c r="K172" s="6" t="n">
        <f aca="false">'Zoning Research'!AG172</f>
        <v>0</v>
      </c>
      <c r="L172" s="6" t="n">
        <f aca="false">'Zoning Research'!AH172</f>
        <v>0</v>
      </c>
      <c r="M172" s="6" t="n">
        <f aca="false">'Zoning Research'!AI172</f>
        <v>0</v>
      </c>
      <c r="N172" s="6"/>
      <c r="O172" s="6"/>
      <c r="P172" s="6"/>
    </row>
    <row r="173" customFormat="false" ht="15" hidden="false" customHeight="false" outlineLevel="0" collapsed="false">
      <c r="A173" s="2" t="s">
        <v>236</v>
      </c>
      <c r="B173" s="2" t="s">
        <v>177</v>
      </c>
      <c r="C173" s="3" t="n">
        <v>19000</v>
      </c>
      <c r="D173" s="2" t="s">
        <v>403</v>
      </c>
      <c r="E173" s="6" t="n">
        <f aca="false">'Zoning Research'!G173</f>
        <v>0</v>
      </c>
      <c r="F173" s="6" t="n">
        <f aca="false">'Zoning Research'!Q173</f>
        <v>0</v>
      </c>
      <c r="G173" s="6" t="n">
        <f aca="false">'Zoning Research'!V173</f>
        <v>0</v>
      </c>
      <c r="H173" s="6" t="n">
        <f aca="false">'Zoning Research'!Z173</f>
        <v>0</v>
      </c>
      <c r="I173" s="6" t="n">
        <f aca="false">'Zoning Research'!AE173</f>
        <v>0</v>
      </c>
      <c r="J173" s="12" t="n">
        <f aca="false">'Zoning Research'!AF173</f>
        <v>0</v>
      </c>
      <c r="K173" s="6" t="n">
        <f aca="false">'Zoning Research'!AG173</f>
        <v>0</v>
      </c>
      <c r="L173" s="6" t="n">
        <f aca="false">'Zoning Research'!AH173</f>
        <v>0</v>
      </c>
      <c r="M173" s="6" t="n">
        <f aca="false">'Zoning Research'!AI173</f>
        <v>0</v>
      </c>
      <c r="N173" s="6"/>
      <c r="O173" s="6"/>
      <c r="P173" s="6"/>
    </row>
    <row r="174" customFormat="false" ht="15" hidden="false" customHeight="false" outlineLevel="0" collapsed="false">
      <c r="A174" s="2" t="s">
        <v>237</v>
      </c>
      <c r="B174" s="2" t="s">
        <v>177</v>
      </c>
      <c r="C174" s="3" t="n">
        <v>19000</v>
      </c>
      <c r="D174" s="2" t="s">
        <v>403</v>
      </c>
      <c r="E174" s="6" t="n">
        <f aca="false">'Zoning Research'!G174</f>
        <v>0</v>
      </c>
      <c r="F174" s="6" t="n">
        <f aca="false">'Zoning Research'!Q174</f>
        <v>0</v>
      </c>
      <c r="G174" s="6" t="n">
        <f aca="false">'Zoning Research'!V174</f>
        <v>0</v>
      </c>
      <c r="H174" s="6" t="n">
        <f aca="false">'Zoning Research'!Z174</f>
        <v>0</v>
      </c>
      <c r="I174" s="6" t="n">
        <f aca="false">'Zoning Research'!AE174</f>
        <v>0</v>
      </c>
      <c r="J174" s="12" t="n">
        <f aca="false">'Zoning Research'!AF174</f>
        <v>0</v>
      </c>
      <c r="K174" s="6" t="n">
        <f aca="false">'Zoning Research'!AG174</f>
        <v>0</v>
      </c>
      <c r="L174" s="6" t="n">
        <f aca="false">'Zoning Research'!AH174</f>
        <v>0</v>
      </c>
      <c r="M174" s="6" t="n">
        <f aca="false">'Zoning Research'!AI174</f>
        <v>0</v>
      </c>
      <c r="N174" s="6"/>
      <c r="O174" s="6"/>
      <c r="P174" s="6"/>
    </row>
    <row r="175" customFormat="false" ht="15" hidden="false" customHeight="false" outlineLevel="0" collapsed="false">
      <c r="A175" s="2" t="s">
        <v>239</v>
      </c>
      <c r="B175" s="2" t="s">
        <v>177</v>
      </c>
      <c r="C175" s="3" t="n">
        <v>18000</v>
      </c>
      <c r="D175" s="2" t="s">
        <v>403</v>
      </c>
      <c r="E175" s="6" t="n">
        <f aca="false">'Zoning Research'!G175</f>
        <v>0</v>
      </c>
      <c r="F175" s="6" t="n">
        <f aca="false">'Zoning Research'!Q175</f>
        <v>0</v>
      </c>
      <c r="G175" s="6" t="n">
        <f aca="false">'Zoning Research'!V175</f>
        <v>0</v>
      </c>
      <c r="H175" s="6" t="n">
        <f aca="false">'Zoning Research'!Z175</f>
        <v>0</v>
      </c>
      <c r="I175" s="6" t="n">
        <f aca="false">'Zoning Research'!AE175</f>
        <v>0</v>
      </c>
      <c r="J175" s="12" t="n">
        <f aca="false">'Zoning Research'!AF175</f>
        <v>0</v>
      </c>
      <c r="K175" s="6" t="n">
        <f aca="false">'Zoning Research'!AG175</f>
        <v>0</v>
      </c>
      <c r="L175" s="6" t="n">
        <f aca="false">'Zoning Research'!AH175</f>
        <v>0</v>
      </c>
      <c r="M175" s="6" t="n">
        <f aca="false">'Zoning Research'!AI175</f>
        <v>0</v>
      </c>
      <c r="N175" s="6"/>
      <c r="O175" s="6"/>
      <c r="P175" s="6"/>
    </row>
    <row r="176" customFormat="false" ht="15" hidden="false" customHeight="false" outlineLevel="0" collapsed="false">
      <c r="A176" s="2" t="s">
        <v>240</v>
      </c>
      <c r="B176" s="2" t="s">
        <v>177</v>
      </c>
      <c r="C176" s="3" t="n">
        <v>18000</v>
      </c>
      <c r="D176" s="2" t="s">
        <v>403</v>
      </c>
      <c r="E176" s="6" t="n">
        <f aca="false">'Zoning Research'!G176</f>
        <v>0</v>
      </c>
      <c r="F176" s="6" t="n">
        <f aca="false">'Zoning Research'!Q176</f>
        <v>0</v>
      </c>
      <c r="G176" s="6" t="n">
        <f aca="false">'Zoning Research'!V176</f>
        <v>0</v>
      </c>
      <c r="H176" s="6" t="n">
        <f aca="false">'Zoning Research'!Z176</f>
        <v>0</v>
      </c>
      <c r="I176" s="6" t="n">
        <f aca="false">'Zoning Research'!AE176</f>
        <v>0</v>
      </c>
      <c r="J176" s="12" t="n">
        <f aca="false">'Zoning Research'!AF176</f>
        <v>0</v>
      </c>
      <c r="K176" s="6" t="n">
        <f aca="false">'Zoning Research'!AG176</f>
        <v>0</v>
      </c>
      <c r="L176" s="6" t="n">
        <f aca="false">'Zoning Research'!AH176</f>
        <v>0</v>
      </c>
      <c r="M176" s="6" t="n">
        <f aca="false">'Zoning Research'!AI176</f>
        <v>0</v>
      </c>
      <c r="N176" s="6"/>
      <c r="O176" s="6"/>
      <c r="P176" s="6"/>
    </row>
    <row r="177" customFormat="false" ht="15" hidden="false" customHeight="false" outlineLevel="0" collapsed="false">
      <c r="A177" s="2" t="s">
        <v>242</v>
      </c>
      <c r="B177" s="2" t="s">
        <v>177</v>
      </c>
      <c r="C177" s="3" t="n">
        <v>16000</v>
      </c>
      <c r="D177" s="2" t="s">
        <v>403</v>
      </c>
      <c r="E177" s="6" t="n">
        <f aca="false">'Zoning Research'!G177</f>
        <v>0</v>
      </c>
      <c r="F177" s="6" t="n">
        <f aca="false">'Zoning Research'!Q177</f>
        <v>0</v>
      </c>
      <c r="G177" s="6" t="n">
        <f aca="false">'Zoning Research'!V177</f>
        <v>0</v>
      </c>
      <c r="H177" s="6" t="n">
        <f aca="false">'Zoning Research'!Z177</f>
        <v>0</v>
      </c>
      <c r="I177" s="6" t="n">
        <f aca="false">'Zoning Research'!AE177</f>
        <v>0</v>
      </c>
      <c r="J177" s="12" t="n">
        <f aca="false">'Zoning Research'!AF177</f>
        <v>0</v>
      </c>
      <c r="K177" s="6" t="n">
        <f aca="false">'Zoning Research'!AG177</f>
        <v>0</v>
      </c>
      <c r="L177" s="6" t="n">
        <f aca="false">'Zoning Research'!AH177</f>
        <v>0</v>
      </c>
      <c r="M177" s="6" t="n">
        <f aca="false">'Zoning Research'!AI177</f>
        <v>0</v>
      </c>
      <c r="N177" s="6"/>
      <c r="O177" s="6"/>
      <c r="P177" s="6"/>
    </row>
    <row r="178" customFormat="false" ht="15" hidden="false" customHeight="false" outlineLevel="0" collapsed="false">
      <c r="A178" s="2" t="s">
        <v>243</v>
      </c>
      <c r="B178" s="2" t="s">
        <v>177</v>
      </c>
      <c r="C178" s="3" t="n">
        <v>16000</v>
      </c>
      <c r="D178" s="2" t="s">
        <v>403</v>
      </c>
      <c r="E178" s="6" t="n">
        <f aca="false">'Zoning Research'!G178</f>
        <v>0</v>
      </c>
      <c r="F178" s="6" t="n">
        <f aca="false">'Zoning Research'!Q178</f>
        <v>0</v>
      </c>
      <c r="G178" s="6" t="n">
        <f aca="false">'Zoning Research'!V178</f>
        <v>0</v>
      </c>
      <c r="H178" s="6" t="n">
        <f aca="false">'Zoning Research'!Z178</f>
        <v>0</v>
      </c>
      <c r="I178" s="6" t="n">
        <f aca="false">'Zoning Research'!AE178</f>
        <v>0</v>
      </c>
      <c r="J178" s="12" t="n">
        <f aca="false">'Zoning Research'!AF178</f>
        <v>0</v>
      </c>
      <c r="K178" s="6" t="n">
        <f aca="false">'Zoning Research'!AG178</f>
        <v>0</v>
      </c>
      <c r="L178" s="6" t="n">
        <f aca="false">'Zoning Research'!AH178</f>
        <v>0</v>
      </c>
      <c r="M178" s="6" t="n">
        <f aca="false">'Zoning Research'!AI178</f>
        <v>0</v>
      </c>
      <c r="N178" s="6"/>
      <c r="O178" s="6"/>
      <c r="P178" s="6"/>
    </row>
    <row r="179" customFormat="false" ht="15" hidden="false" customHeight="false" outlineLevel="0" collapsed="false">
      <c r="A179" s="2" t="s">
        <v>244</v>
      </c>
      <c r="B179" s="2" t="s">
        <v>177</v>
      </c>
      <c r="C179" s="3" t="n">
        <v>15000</v>
      </c>
      <c r="D179" s="2" t="s">
        <v>403</v>
      </c>
      <c r="E179" s="6" t="n">
        <f aca="false">'Zoning Research'!G179</f>
        <v>0</v>
      </c>
      <c r="F179" s="6" t="n">
        <f aca="false">'Zoning Research'!Q179</f>
        <v>0</v>
      </c>
      <c r="G179" s="6" t="n">
        <f aca="false">'Zoning Research'!V179</f>
        <v>0</v>
      </c>
      <c r="H179" s="6" t="n">
        <f aca="false">'Zoning Research'!Z179</f>
        <v>0</v>
      </c>
      <c r="I179" s="6" t="n">
        <f aca="false">'Zoning Research'!AE179</f>
        <v>0</v>
      </c>
      <c r="J179" s="12" t="n">
        <f aca="false">'Zoning Research'!AF179</f>
        <v>0</v>
      </c>
      <c r="K179" s="6" t="n">
        <f aca="false">'Zoning Research'!AG179</f>
        <v>0</v>
      </c>
      <c r="L179" s="6" t="n">
        <f aca="false">'Zoning Research'!AH179</f>
        <v>0</v>
      </c>
      <c r="M179" s="6" t="n">
        <f aca="false">'Zoning Research'!AI179</f>
        <v>0</v>
      </c>
      <c r="N179" s="6"/>
      <c r="O179" s="6"/>
      <c r="P179" s="6"/>
    </row>
    <row r="180" customFormat="false" ht="15" hidden="false" customHeight="false" outlineLevel="0" collapsed="false">
      <c r="A180" s="2" t="s">
        <v>246</v>
      </c>
      <c r="B180" s="2" t="s">
        <v>177</v>
      </c>
      <c r="C180" s="3" t="n">
        <v>14000</v>
      </c>
      <c r="D180" s="2" t="s">
        <v>403</v>
      </c>
      <c r="E180" s="6" t="n">
        <f aca="false">'Zoning Research'!G180</f>
        <v>0</v>
      </c>
      <c r="F180" s="6" t="n">
        <f aca="false">'Zoning Research'!Q180</f>
        <v>0</v>
      </c>
      <c r="G180" s="6" t="n">
        <f aca="false">'Zoning Research'!V180</f>
        <v>0</v>
      </c>
      <c r="H180" s="6" t="n">
        <f aca="false">'Zoning Research'!Z180</f>
        <v>0</v>
      </c>
      <c r="I180" s="6" t="n">
        <f aca="false">'Zoning Research'!AE180</f>
        <v>0</v>
      </c>
      <c r="J180" s="12" t="n">
        <f aca="false">'Zoning Research'!AF180</f>
        <v>0</v>
      </c>
      <c r="K180" s="6" t="n">
        <f aca="false">'Zoning Research'!AG180</f>
        <v>0</v>
      </c>
      <c r="L180" s="6" t="n">
        <f aca="false">'Zoning Research'!AH180</f>
        <v>0</v>
      </c>
      <c r="M180" s="6" t="n">
        <f aca="false">'Zoning Research'!AI180</f>
        <v>0</v>
      </c>
      <c r="N180" s="6"/>
      <c r="O180" s="6"/>
      <c r="P180" s="6"/>
    </row>
    <row r="181" customFormat="false" ht="15" hidden="false" customHeight="false" outlineLevel="0" collapsed="false">
      <c r="A181" s="2" t="s">
        <v>247</v>
      </c>
      <c r="B181" s="2" t="s">
        <v>177</v>
      </c>
      <c r="C181" s="3" t="n">
        <v>14000</v>
      </c>
      <c r="D181" s="2" t="s">
        <v>403</v>
      </c>
      <c r="E181" s="6" t="n">
        <f aca="false">'Zoning Research'!G181</f>
        <v>0</v>
      </c>
      <c r="F181" s="6" t="n">
        <f aca="false">'Zoning Research'!Q181</f>
        <v>0</v>
      </c>
      <c r="G181" s="6" t="n">
        <f aca="false">'Zoning Research'!V181</f>
        <v>0</v>
      </c>
      <c r="H181" s="6" t="n">
        <f aca="false">'Zoning Research'!Z181</f>
        <v>0</v>
      </c>
      <c r="I181" s="6" t="n">
        <f aca="false">'Zoning Research'!AE181</f>
        <v>0</v>
      </c>
      <c r="J181" s="12" t="n">
        <f aca="false">'Zoning Research'!AF181</f>
        <v>0</v>
      </c>
      <c r="K181" s="6" t="n">
        <f aca="false">'Zoning Research'!AG181</f>
        <v>0</v>
      </c>
      <c r="L181" s="6" t="n">
        <f aca="false">'Zoning Research'!AH181</f>
        <v>0</v>
      </c>
      <c r="M181" s="6" t="n">
        <f aca="false">'Zoning Research'!AI181</f>
        <v>0</v>
      </c>
      <c r="N181" s="6"/>
      <c r="O181" s="6"/>
      <c r="P181" s="6"/>
    </row>
    <row r="182" customFormat="false" ht="15" hidden="false" customHeight="false" outlineLevel="0" collapsed="false">
      <c r="A182" s="2" t="s">
        <v>248</v>
      </c>
      <c r="B182" s="2" t="s">
        <v>249</v>
      </c>
      <c r="C182" s="3" t="n">
        <v>577000</v>
      </c>
      <c r="D182" s="2" t="s">
        <v>403</v>
      </c>
      <c r="E182" s="6" t="n">
        <f aca="false">'Zoning Research'!G182</f>
        <v>18</v>
      </c>
      <c r="F182" s="6" t="n">
        <f aca="false">'Zoning Research'!Q182</f>
        <v>18</v>
      </c>
      <c r="G182" s="6" t="n">
        <f aca="false">'Zoning Research'!V182</f>
        <v>18</v>
      </c>
      <c r="H182" s="6" t="n">
        <f aca="false">'Zoning Research'!Z182</f>
        <v>18</v>
      </c>
      <c r="I182" s="6" t="n">
        <f aca="false">'Zoning Research'!AE182</f>
        <v>18</v>
      </c>
      <c r="J182" s="12" t="n">
        <f aca="false">'Zoning Research'!AF182</f>
        <v>90</v>
      </c>
      <c r="K182" s="6" t="n">
        <f aca="false">'Zoning Research'!AG182</f>
        <v>0</v>
      </c>
      <c r="L182" s="6" t="n">
        <f aca="false">'Zoning Research'!AH182</f>
        <v>0</v>
      </c>
      <c r="M182" s="6" t="str">
        <f aca="false">'Zoning Research'!AI182</f>
        <v>AI Estimate</v>
      </c>
      <c r="N182" s="2" t="n">
        <v>80</v>
      </c>
      <c r="O182" s="2" t="n">
        <v>100</v>
      </c>
      <c r="P182" s="2" t="n">
        <f aca="false">IF(J182="","",J182-AVERAGE(N182,O182))</f>
        <v>0</v>
      </c>
    </row>
    <row r="183" customFormat="false" ht="15" hidden="false" customHeight="false" outlineLevel="0" collapsed="false">
      <c r="A183" s="2" t="s">
        <v>112</v>
      </c>
      <c r="B183" s="2" t="s">
        <v>249</v>
      </c>
      <c r="C183" s="3" t="n">
        <v>269000</v>
      </c>
      <c r="D183" s="2" t="s">
        <v>403</v>
      </c>
      <c r="E183" s="6" t="n">
        <f aca="false">'Zoning Research'!G183</f>
        <v>20</v>
      </c>
      <c r="F183" s="6" t="n">
        <f aca="false">'Zoning Research'!Q183</f>
        <v>20</v>
      </c>
      <c r="G183" s="6" t="n">
        <f aca="false">'Zoning Research'!V183</f>
        <v>20</v>
      </c>
      <c r="H183" s="6" t="n">
        <f aca="false">'Zoning Research'!Z183</f>
        <v>20</v>
      </c>
      <c r="I183" s="6" t="n">
        <f aca="false">'Zoning Research'!AE183</f>
        <v>20</v>
      </c>
      <c r="J183" s="12" t="n">
        <f aca="false">'Zoning Research'!AF183</f>
        <v>100</v>
      </c>
      <c r="K183" s="6" t="n">
        <f aca="false">'Zoning Research'!AG183</f>
        <v>0</v>
      </c>
      <c r="L183" s="6" t="n">
        <f aca="false">'Zoning Research'!AH183</f>
        <v>0</v>
      </c>
      <c r="M183" s="6" t="str">
        <f aca="false">'Zoning Research'!AI183</f>
        <v>AI Estimate</v>
      </c>
      <c r="N183" s="2" t="n">
        <v>95</v>
      </c>
      <c r="O183" s="2" t="n">
        <v>100</v>
      </c>
      <c r="P183" s="2" t="n">
        <f aca="false">IF(J183="","",J183-AVERAGE(N183,O183))</f>
        <v>2.5</v>
      </c>
    </row>
    <row r="184" customFormat="false" ht="15" hidden="false" customHeight="false" outlineLevel="0" collapsed="false">
      <c r="A184" s="2" t="s">
        <v>251</v>
      </c>
      <c r="B184" s="2" t="s">
        <v>249</v>
      </c>
      <c r="C184" s="3" t="n">
        <v>104000</v>
      </c>
      <c r="D184" s="2" t="s">
        <v>403</v>
      </c>
      <c r="E184" s="6" t="n">
        <f aca="false">'Zoning Research'!G184</f>
        <v>20</v>
      </c>
      <c r="F184" s="6" t="n">
        <f aca="false">'Zoning Research'!Q184</f>
        <v>20</v>
      </c>
      <c r="G184" s="6" t="n">
        <f aca="false">'Zoning Research'!V184</f>
        <v>20</v>
      </c>
      <c r="H184" s="6" t="n">
        <f aca="false">'Zoning Research'!Z184</f>
        <v>20</v>
      </c>
      <c r="I184" s="6" t="n">
        <f aca="false">'Zoning Research'!AE184</f>
        <v>20</v>
      </c>
      <c r="J184" s="12" t="n">
        <f aca="false">'Zoning Research'!AF184</f>
        <v>100</v>
      </c>
      <c r="K184" s="6" t="n">
        <f aca="false">'Zoning Research'!AG184</f>
        <v>0</v>
      </c>
      <c r="L184" s="6" t="n">
        <f aca="false">'Zoning Research'!AH184</f>
        <v>0</v>
      </c>
      <c r="M184" s="6" t="str">
        <f aca="false">'Zoning Research'!AI184</f>
        <v>AI Estimate</v>
      </c>
      <c r="N184" s="2" t="n">
        <v>100</v>
      </c>
      <c r="O184" s="2" t="n">
        <v>100</v>
      </c>
      <c r="P184" s="2" t="n">
        <f aca="false">IF(J184="","",J184-AVERAGE(N184,O184))</f>
        <v>0</v>
      </c>
    </row>
    <row r="185" customFormat="false" ht="15" hidden="false" customHeight="false" outlineLevel="0" collapsed="false">
      <c r="A185" s="2" t="s">
        <v>253</v>
      </c>
      <c r="B185" s="2" t="s">
        <v>249</v>
      </c>
      <c r="C185" s="3" t="n">
        <v>99000</v>
      </c>
      <c r="D185" s="2" t="s">
        <v>403</v>
      </c>
      <c r="E185" s="6" t="n">
        <f aca="false">'Zoning Research'!G185</f>
        <v>0</v>
      </c>
      <c r="F185" s="6" t="n">
        <f aca="false">'Zoning Research'!Q185</f>
        <v>0</v>
      </c>
      <c r="G185" s="6" t="n">
        <f aca="false">'Zoning Research'!V185</f>
        <v>0</v>
      </c>
      <c r="H185" s="6" t="n">
        <f aca="false">'Zoning Research'!Z185</f>
        <v>0</v>
      </c>
      <c r="I185" s="6" t="n">
        <f aca="false">'Zoning Research'!AE185</f>
        <v>0</v>
      </c>
      <c r="J185" s="12" t="n">
        <f aca="false">'Zoning Research'!AF185</f>
        <v>0</v>
      </c>
      <c r="K185" s="6" t="n">
        <f aca="false">'Zoning Research'!AG185</f>
        <v>0</v>
      </c>
      <c r="L185" s="6" t="n">
        <f aca="false">'Zoning Research'!AH185</f>
        <v>0</v>
      </c>
      <c r="M185" s="6" t="n">
        <f aca="false">'Zoning Research'!AI185</f>
        <v>0</v>
      </c>
      <c r="N185" s="6"/>
      <c r="O185" s="6"/>
      <c r="P185" s="6"/>
    </row>
    <row r="186" customFormat="false" ht="15" hidden="false" customHeight="false" outlineLevel="0" collapsed="false">
      <c r="A186" s="2" t="s">
        <v>254</v>
      </c>
      <c r="B186" s="2" t="s">
        <v>249</v>
      </c>
      <c r="C186" s="3" t="n">
        <v>77000</v>
      </c>
      <c r="D186" s="2" t="s">
        <v>403</v>
      </c>
      <c r="E186" s="6" t="n">
        <f aca="false">'Zoning Research'!G186</f>
        <v>0</v>
      </c>
      <c r="F186" s="6" t="n">
        <f aca="false">'Zoning Research'!Q186</f>
        <v>0</v>
      </c>
      <c r="G186" s="6" t="n">
        <f aca="false">'Zoning Research'!V186</f>
        <v>0</v>
      </c>
      <c r="H186" s="6" t="n">
        <f aca="false">'Zoning Research'!Z186</f>
        <v>0</v>
      </c>
      <c r="I186" s="6" t="n">
        <f aca="false">'Zoning Research'!AE186</f>
        <v>0</v>
      </c>
      <c r="J186" s="12" t="n">
        <f aca="false">'Zoning Research'!AF186</f>
        <v>0</v>
      </c>
      <c r="K186" s="6" t="n">
        <f aca="false">'Zoning Research'!AG186</f>
        <v>0</v>
      </c>
      <c r="L186" s="6" t="n">
        <f aca="false">'Zoning Research'!AH186</f>
        <v>0</v>
      </c>
      <c r="M186" s="6" t="n">
        <f aca="false">'Zoning Research'!AI186</f>
        <v>0</v>
      </c>
      <c r="N186" s="6"/>
      <c r="O186" s="6"/>
      <c r="P186" s="6"/>
    </row>
    <row r="187" customFormat="false" ht="15" hidden="false" customHeight="false" outlineLevel="0" collapsed="false">
      <c r="A187" s="2" t="s">
        <v>255</v>
      </c>
      <c r="B187" s="2" t="s">
        <v>249</v>
      </c>
      <c r="C187" s="3" t="n">
        <v>75000</v>
      </c>
      <c r="D187" s="2" t="s">
        <v>403</v>
      </c>
      <c r="E187" s="6" t="n">
        <f aca="false">'Zoning Research'!G187</f>
        <v>0</v>
      </c>
      <c r="F187" s="6" t="n">
        <f aca="false">'Zoning Research'!Q187</f>
        <v>0</v>
      </c>
      <c r="G187" s="6" t="n">
        <f aca="false">'Zoning Research'!V187</f>
        <v>0</v>
      </c>
      <c r="H187" s="6" t="n">
        <f aca="false">'Zoning Research'!Z187</f>
        <v>0</v>
      </c>
      <c r="I187" s="6" t="n">
        <f aca="false">'Zoning Research'!AE187</f>
        <v>0</v>
      </c>
      <c r="J187" s="12" t="n">
        <f aca="false">'Zoning Research'!AF187</f>
        <v>0</v>
      </c>
      <c r="K187" s="6" t="n">
        <f aca="false">'Zoning Research'!AG187</f>
        <v>0</v>
      </c>
      <c r="L187" s="6" t="n">
        <f aca="false">'Zoning Research'!AH187</f>
        <v>0</v>
      </c>
      <c r="M187" s="6" t="n">
        <f aca="false">'Zoning Research'!AI187</f>
        <v>0</v>
      </c>
      <c r="N187" s="6"/>
      <c r="O187" s="6"/>
      <c r="P187" s="6"/>
    </row>
    <row r="188" customFormat="false" ht="15" hidden="false" customHeight="false" outlineLevel="0" collapsed="false">
      <c r="A188" s="2" t="s">
        <v>257</v>
      </c>
      <c r="B188" s="2" t="s">
        <v>249</v>
      </c>
      <c r="C188" s="3" t="n">
        <v>72000</v>
      </c>
      <c r="D188" s="2" t="s">
        <v>403</v>
      </c>
      <c r="E188" s="6" t="n">
        <f aca="false">'Zoning Research'!G188</f>
        <v>20</v>
      </c>
      <c r="F188" s="6" t="n">
        <f aca="false">'Zoning Research'!Q188</f>
        <v>20</v>
      </c>
      <c r="G188" s="6" t="n">
        <f aca="false">'Zoning Research'!V188</f>
        <v>20</v>
      </c>
      <c r="H188" s="6" t="n">
        <f aca="false">'Zoning Research'!Z188</f>
        <v>20</v>
      </c>
      <c r="I188" s="6" t="n">
        <f aca="false">'Zoning Research'!AE188</f>
        <v>20</v>
      </c>
      <c r="J188" s="12" t="n">
        <f aca="false">'Zoning Research'!AF188</f>
        <v>100</v>
      </c>
      <c r="K188" s="6" t="n">
        <f aca="false">'Zoning Research'!AG188</f>
        <v>0</v>
      </c>
      <c r="L188" s="6" t="n">
        <f aca="false">'Zoning Research'!AH188</f>
        <v>0</v>
      </c>
      <c r="M188" s="6" t="str">
        <f aca="false">'Zoning Research'!AI188</f>
        <v>AI Estimate</v>
      </c>
      <c r="N188" s="2" t="n">
        <v>95</v>
      </c>
      <c r="O188" s="2" t="n">
        <v>100</v>
      </c>
      <c r="P188" s="2" t="n">
        <f aca="false">IF(J188="","",J188-AVERAGE(N188,O188))</f>
        <v>2.5</v>
      </c>
    </row>
    <row r="189" customFormat="false" ht="15" hidden="false" customHeight="false" outlineLevel="0" collapsed="false">
      <c r="A189" s="2" t="s">
        <v>258</v>
      </c>
      <c r="B189" s="2" t="s">
        <v>249</v>
      </c>
      <c r="C189" s="3" t="n">
        <v>69000</v>
      </c>
      <c r="D189" s="2" t="s">
        <v>403</v>
      </c>
      <c r="E189" s="6" t="n">
        <f aca="false">'Zoning Research'!G189</f>
        <v>0</v>
      </c>
      <c r="F189" s="6" t="n">
        <f aca="false">'Zoning Research'!Q189</f>
        <v>0</v>
      </c>
      <c r="G189" s="6" t="n">
        <f aca="false">'Zoning Research'!V189</f>
        <v>0</v>
      </c>
      <c r="H189" s="6" t="n">
        <f aca="false">'Zoning Research'!Z189</f>
        <v>0</v>
      </c>
      <c r="I189" s="6" t="n">
        <f aca="false">'Zoning Research'!AE189</f>
        <v>0</v>
      </c>
      <c r="J189" s="12" t="n">
        <f aca="false">'Zoning Research'!AF189</f>
        <v>0</v>
      </c>
      <c r="K189" s="6" t="n">
        <f aca="false">'Zoning Research'!AG189</f>
        <v>0</v>
      </c>
      <c r="L189" s="6" t="n">
        <f aca="false">'Zoning Research'!AH189</f>
        <v>0</v>
      </c>
      <c r="M189" s="6" t="n">
        <f aca="false">'Zoning Research'!AI189</f>
        <v>0</v>
      </c>
      <c r="N189" s="6"/>
      <c r="O189" s="6"/>
      <c r="P189" s="6"/>
    </row>
    <row r="190" customFormat="false" ht="15" hidden="false" customHeight="false" outlineLevel="0" collapsed="false">
      <c r="A190" s="2" t="s">
        <v>259</v>
      </c>
      <c r="B190" s="2" t="s">
        <v>249</v>
      </c>
      <c r="C190" s="3" t="n">
        <v>66000</v>
      </c>
      <c r="D190" s="2" t="s">
        <v>403</v>
      </c>
      <c r="E190" s="6" t="n">
        <f aca="false">'Zoning Research'!G190</f>
        <v>0</v>
      </c>
      <c r="F190" s="6" t="n">
        <f aca="false">'Zoning Research'!Q190</f>
        <v>0</v>
      </c>
      <c r="G190" s="6" t="n">
        <f aca="false">'Zoning Research'!V190</f>
        <v>0</v>
      </c>
      <c r="H190" s="6" t="n">
        <f aca="false">'Zoning Research'!Z190</f>
        <v>0</v>
      </c>
      <c r="I190" s="6" t="n">
        <f aca="false">'Zoning Research'!AE190</f>
        <v>0</v>
      </c>
      <c r="J190" s="12" t="n">
        <f aca="false">'Zoning Research'!AF190</f>
        <v>0</v>
      </c>
      <c r="K190" s="6" t="n">
        <f aca="false">'Zoning Research'!AG190</f>
        <v>0</v>
      </c>
      <c r="L190" s="6" t="n">
        <f aca="false">'Zoning Research'!AH190</f>
        <v>0</v>
      </c>
      <c r="M190" s="6" t="n">
        <f aca="false">'Zoning Research'!AI190</f>
        <v>0</v>
      </c>
      <c r="N190" s="6"/>
      <c r="O190" s="6"/>
      <c r="P190" s="6"/>
    </row>
    <row r="191" customFormat="false" ht="15" hidden="false" customHeight="false" outlineLevel="0" collapsed="false">
      <c r="A191" s="2" t="s">
        <v>260</v>
      </c>
      <c r="B191" s="2" t="s">
        <v>249</v>
      </c>
      <c r="C191" s="3" t="n">
        <v>65000</v>
      </c>
      <c r="D191" s="2" t="s">
        <v>403</v>
      </c>
      <c r="E191" s="6" t="n">
        <f aca="false">'Zoning Research'!G191</f>
        <v>0</v>
      </c>
      <c r="F191" s="6" t="n">
        <f aca="false">'Zoning Research'!Q191</f>
        <v>0</v>
      </c>
      <c r="G191" s="6" t="n">
        <f aca="false">'Zoning Research'!V191</f>
        <v>0</v>
      </c>
      <c r="H191" s="6" t="n">
        <f aca="false">'Zoning Research'!Z191</f>
        <v>0</v>
      </c>
      <c r="I191" s="6" t="n">
        <f aca="false">'Zoning Research'!AE191</f>
        <v>0</v>
      </c>
      <c r="J191" s="12" t="n">
        <f aca="false">'Zoning Research'!AF191</f>
        <v>0</v>
      </c>
      <c r="K191" s="6" t="n">
        <f aca="false">'Zoning Research'!AG191</f>
        <v>0</v>
      </c>
      <c r="L191" s="6" t="n">
        <f aca="false">'Zoning Research'!AH191</f>
        <v>0</v>
      </c>
      <c r="M191" s="6" t="n">
        <f aca="false">'Zoning Research'!AI191</f>
        <v>0</v>
      </c>
      <c r="N191" s="6"/>
      <c r="O191" s="6"/>
      <c r="P191" s="6"/>
    </row>
    <row r="192" customFormat="false" ht="15" hidden="false" customHeight="false" outlineLevel="0" collapsed="false">
      <c r="A192" s="2" t="s">
        <v>262</v>
      </c>
      <c r="B192" s="2" t="s">
        <v>249</v>
      </c>
      <c r="C192" s="3" t="n">
        <v>60000</v>
      </c>
      <c r="D192" s="2" t="s">
        <v>403</v>
      </c>
      <c r="E192" s="6" t="n">
        <f aca="false">'Zoning Research'!G192</f>
        <v>0</v>
      </c>
      <c r="F192" s="6" t="n">
        <f aca="false">'Zoning Research'!Q192</f>
        <v>0</v>
      </c>
      <c r="G192" s="6" t="n">
        <f aca="false">'Zoning Research'!V192</f>
        <v>0</v>
      </c>
      <c r="H192" s="6" t="n">
        <f aca="false">'Zoning Research'!Z192</f>
        <v>0</v>
      </c>
      <c r="I192" s="6" t="n">
        <f aca="false">'Zoning Research'!AE192</f>
        <v>0</v>
      </c>
      <c r="J192" s="12" t="n">
        <f aca="false">'Zoning Research'!AF192</f>
        <v>0</v>
      </c>
      <c r="K192" s="6" t="n">
        <f aca="false">'Zoning Research'!AG192</f>
        <v>0</v>
      </c>
      <c r="L192" s="6" t="n">
        <f aca="false">'Zoning Research'!AH192</f>
        <v>0</v>
      </c>
      <c r="M192" s="6" t="n">
        <f aca="false">'Zoning Research'!AI192</f>
        <v>0</v>
      </c>
      <c r="N192" s="6"/>
      <c r="O192" s="6"/>
      <c r="P192" s="6"/>
    </row>
    <row r="193" customFormat="false" ht="15" hidden="false" customHeight="false" outlineLevel="0" collapsed="false">
      <c r="A193" s="2" t="s">
        <v>263</v>
      </c>
      <c r="B193" s="2" t="s">
        <v>249</v>
      </c>
      <c r="C193" s="3" t="n">
        <v>52000</v>
      </c>
      <c r="D193" s="2" t="s">
        <v>403</v>
      </c>
      <c r="E193" s="6" t="n">
        <f aca="false">'Zoning Research'!G193</f>
        <v>0</v>
      </c>
      <c r="F193" s="6" t="n">
        <f aca="false">'Zoning Research'!Q193</f>
        <v>0</v>
      </c>
      <c r="G193" s="6" t="n">
        <f aca="false">'Zoning Research'!V193</f>
        <v>0</v>
      </c>
      <c r="H193" s="6" t="n">
        <f aca="false">'Zoning Research'!Z193</f>
        <v>0</v>
      </c>
      <c r="I193" s="6" t="n">
        <f aca="false">'Zoning Research'!AE193</f>
        <v>0</v>
      </c>
      <c r="J193" s="12" t="n">
        <f aca="false">'Zoning Research'!AF193</f>
        <v>0</v>
      </c>
      <c r="K193" s="6" t="n">
        <f aca="false">'Zoning Research'!AG193</f>
        <v>0</v>
      </c>
      <c r="L193" s="6" t="n">
        <f aca="false">'Zoning Research'!AH193</f>
        <v>0</v>
      </c>
      <c r="M193" s="6" t="n">
        <f aca="false">'Zoning Research'!AI193</f>
        <v>0</v>
      </c>
      <c r="N193" s="6"/>
      <c r="O193" s="6"/>
      <c r="P193" s="6"/>
    </row>
    <row r="194" customFormat="false" ht="15" hidden="false" customHeight="false" outlineLevel="0" collapsed="false">
      <c r="A194" s="2" t="s">
        <v>264</v>
      </c>
      <c r="B194" s="2" t="s">
        <v>249</v>
      </c>
      <c r="C194" s="3" t="n">
        <v>49000</v>
      </c>
      <c r="D194" s="2" t="s">
        <v>403</v>
      </c>
      <c r="E194" s="6" t="n">
        <f aca="false">'Zoning Research'!G194</f>
        <v>0</v>
      </c>
      <c r="F194" s="6" t="n">
        <f aca="false">'Zoning Research'!Q194</f>
        <v>0</v>
      </c>
      <c r="G194" s="6" t="n">
        <f aca="false">'Zoning Research'!V194</f>
        <v>0</v>
      </c>
      <c r="H194" s="6" t="n">
        <f aca="false">'Zoning Research'!Z194</f>
        <v>0</v>
      </c>
      <c r="I194" s="6" t="n">
        <f aca="false">'Zoning Research'!AE194</f>
        <v>0</v>
      </c>
      <c r="J194" s="12" t="n">
        <f aca="false">'Zoning Research'!AF194</f>
        <v>0</v>
      </c>
      <c r="K194" s="6" t="n">
        <f aca="false">'Zoning Research'!AG194</f>
        <v>0</v>
      </c>
      <c r="L194" s="6" t="n">
        <f aca="false">'Zoning Research'!AH194</f>
        <v>0</v>
      </c>
      <c r="M194" s="6" t="n">
        <f aca="false">'Zoning Research'!AI194</f>
        <v>0</v>
      </c>
      <c r="N194" s="6"/>
      <c r="O194" s="6"/>
      <c r="P194" s="6"/>
    </row>
    <row r="195" customFormat="false" ht="15" hidden="false" customHeight="false" outlineLevel="0" collapsed="false">
      <c r="A195" s="2" t="s">
        <v>265</v>
      </c>
      <c r="B195" s="2" t="s">
        <v>249</v>
      </c>
      <c r="C195" s="3" t="n">
        <v>48000</v>
      </c>
      <c r="D195" s="2" t="s">
        <v>403</v>
      </c>
      <c r="E195" s="6" t="n">
        <f aca="false">'Zoning Research'!G195</f>
        <v>20</v>
      </c>
      <c r="F195" s="6" t="n">
        <f aca="false">'Zoning Research'!Q195</f>
        <v>20</v>
      </c>
      <c r="G195" s="6" t="n">
        <f aca="false">'Zoning Research'!V195</f>
        <v>20</v>
      </c>
      <c r="H195" s="6" t="n">
        <f aca="false">'Zoning Research'!Z195</f>
        <v>20</v>
      </c>
      <c r="I195" s="6" t="n">
        <f aca="false">'Zoning Research'!AE195</f>
        <v>20</v>
      </c>
      <c r="J195" s="12" t="n">
        <f aca="false">'Zoning Research'!AF195</f>
        <v>100</v>
      </c>
      <c r="K195" s="6" t="n">
        <f aca="false">'Zoning Research'!AG195</f>
        <v>0</v>
      </c>
      <c r="L195" s="6" t="n">
        <f aca="false">'Zoning Research'!AH195</f>
        <v>0</v>
      </c>
      <c r="M195" s="6" t="str">
        <f aca="false">'Zoning Research'!AI195</f>
        <v>AI Estimate</v>
      </c>
      <c r="N195" s="2" t="n">
        <v>100</v>
      </c>
      <c r="O195" s="2" t="n">
        <v>100</v>
      </c>
      <c r="P195" s="2" t="n">
        <f aca="false">IF(J195="","",J195-AVERAGE(N195,O195))</f>
        <v>0</v>
      </c>
    </row>
    <row r="196" customFormat="false" ht="15" hidden="false" customHeight="false" outlineLevel="0" collapsed="false">
      <c r="A196" s="2" t="s">
        <v>266</v>
      </c>
      <c r="B196" s="2" t="s">
        <v>249</v>
      </c>
      <c r="C196" s="3" t="n">
        <v>43000</v>
      </c>
      <c r="D196" s="2" t="s">
        <v>403</v>
      </c>
      <c r="E196" s="6" t="n">
        <f aca="false">'Zoning Research'!G196</f>
        <v>0</v>
      </c>
      <c r="F196" s="6" t="n">
        <f aca="false">'Zoning Research'!Q196</f>
        <v>0</v>
      </c>
      <c r="G196" s="6" t="n">
        <f aca="false">'Zoning Research'!V196</f>
        <v>0</v>
      </c>
      <c r="H196" s="6" t="n">
        <f aca="false">'Zoning Research'!Z196</f>
        <v>0</v>
      </c>
      <c r="I196" s="6" t="n">
        <f aca="false">'Zoning Research'!AE196</f>
        <v>0</v>
      </c>
      <c r="J196" s="12" t="n">
        <f aca="false">'Zoning Research'!AF196</f>
        <v>0</v>
      </c>
      <c r="K196" s="6" t="n">
        <f aca="false">'Zoning Research'!AG196</f>
        <v>0</v>
      </c>
      <c r="L196" s="6" t="n">
        <f aca="false">'Zoning Research'!AH196</f>
        <v>0</v>
      </c>
      <c r="M196" s="6" t="n">
        <f aca="false">'Zoning Research'!AI196</f>
        <v>0</v>
      </c>
      <c r="N196" s="6"/>
      <c r="O196" s="6"/>
      <c r="P196" s="6"/>
    </row>
    <row r="197" customFormat="false" ht="15" hidden="false" customHeight="false" outlineLevel="0" collapsed="false">
      <c r="A197" s="2" t="s">
        <v>267</v>
      </c>
      <c r="B197" s="2" t="s">
        <v>249</v>
      </c>
      <c r="C197" s="3" t="n">
        <v>39000</v>
      </c>
      <c r="D197" s="2" t="s">
        <v>403</v>
      </c>
      <c r="E197" s="6" t="n">
        <f aca="false">'Zoning Research'!G197</f>
        <v>18</v>
      </c>
      <c r="F197" s="6" t="n">
        <f aca="false">'Zoning Research'!Q197</f>
        <v>18</v>
      </c>
      <c r="G197" s="6" t="n">
        <f aca="false">'Zoning Research'!V197</f>
        <v>18</v>
      </c>
      <c r="H197" s="6" t="n">
        <f aca="false">'Zoning Research'!Z197</f>
        <v>18</v>
      </c>
      <c r="I197" s="6" t="n">
        <f aca="false">'Zoning Research'!AE197</f>
        <v>18</v>
      </c>
      <c r="J197" s="12" t="n">
        <f aca="false">'Zoning Research'!AF197</f>
        <v>90</v>
      </c>
      <c r="K197" s="6" t="n">
        <f aca="false">'Zoning Research'!AG197</f>
        <v>0</v>
      </c>
      <c r="L197" s="6" t="n">
        <f aca="false">'Zoning Research'!AH197</f>
        <v>0</v>
      </c>
      <c r="M197" s="6" t="str">
        <f aca="false">'Zoning Research'!AI197</f>
        <v>AI Estimate</v>
      </c>
      <c r="N197" s="2" t="n">
        <v>75</v>
      </c>
      <c r="O197" s="2" t="n">
        <v>100</v>
      </c>
      <c r="P197" s="2" t="n">
        <f aca="false">IF(J197="","",J197-AVERAGE(N197,O197))</f>
        <v>2.5</v>
      </c>
    </row>
    <row r="198" customFormat="false" ht="15" hidden="false" customHeight="false" outlineLevel="0" collapsed="false">
      <c r="A198" s="2" t="s">
        <v>268</v>
      </c>
      <c r="B198" s="2" t="s">
        <v>249</v>
      </c>
      <c r="C198" s="3" t="n">
        <v>39000</v>
      </c>
      <c r="D198" s="2" t="s">
        <v>403</v>
      </c>
      <c r="E198" s="6" t="n">
        <f aca="false">'Zoning Research'!G198</f>
        <v>0</v>
      </c>
      <c r="F198" s="6" t="n">
        <f aca="false">'Zoning Research'!Q198</f>
        <v>0</v>
      </c>
      <c r="G198" s="6" t="n">
        <f aca="false">'Zoning Research'!V198</f>
        <v>0</v>
      </c>
      <c r="H198" s="6" t="n">
        <f aca="false">'Zoning Research'!Z198</f>
        <v>0</v>
      </c>
      <c r="I198" s="6" t="n">
        <f aca="false">'Zoning Research'!AE198</f>
        <v>0</v>
      </c>
      <c r="J198" s="12" t="n">
        <f aca="false">'Zoning Research'!AF198</f>
        <v>0</v>
      </c>
      <c r="K198" s="6" t="n">
        <f aca="false">'Zoning Research'!AG198</f>
        <v>0</v>
      </c>
      <c r="L198" s="6" t="n">
        <f aca="false">'Zoning Research'!AH198</f>
        <v>0</v>
      </c>
      <c r="M198" s="6" t="n">
        <f aca="false">'Zoning Research'!AI198</f>
        <v>0</v>
      </c>
      <c r="N198" s="6"/>
      <c r="O198" s="6"/>
      <c r="P198" s="6"/>
    </row>
    <row r="199" customFormat="false" ht="15" hidden="false" customHeight="false" outlineLevel="0" collapsed="false">
      <c r="A199" s="2" t="s">
        <v>270</v>
      </c>
      <c r="B199" s="2" t="s">
        <v>249</v>
      </c>
      <c r="C199" s="3" t="n">
        <v>38000</v>
      </c>
      <c r="D199" s="2" t="s">
        <v>403</v>
      </c>
      <c r="E199" s="6" t="n">
        <f aca="false">'Zoning Research'!G199</f>
        <v>14</v>
      </c>
      <c r="F199" s="6" t="n">
        <f aca="false">'Zoning Research'!Q199</f>
        <v>14</v>
      </c>
      <c r="G199" s="6" t="n">
        <f aca="false">'Zoning Research'!V199</f>
        <v>14</v>
      </c>
      <c r="H199" s="6" t="n">
        <f aca="false">'Zoning Research'!Z199</f>
        <v>14</v>
      </c>
      <c r="I199" s="6" t="n">
        <f aca="false">'Zoning Research'!AE199</f>
        <v>14</v>
      </c>
      <c r="J199" s="12" t="n">
        <f aca="false">'Zoning Research'!AF199</f>
        <v>70</v>
      </c>
      <c r="K199" s="6" t="n">
        <f aca="false">'Zoning Research'!AG199</f>
        <v>0</v>
      </c>
      <c r="L199" s="6" t="n">
        <f aca="false">'Zoning Research'!AH199</f>
        <v>0</v>
      </c>
      <c r="M199" s="6" t="str">
        <f aca="false">'Zoning Research'!AI199</f>
        <v>AI Estimate</v>
      </c>
      <c r="N199" s="2" t="n">
        <v>75</v>
      </c>
      <c r="O199" s="2" t="n">
        <v>65</v>
      </c>
      <c r="P199" s="2" t="n">
        <f aca="false">IF(J199="","",J199-AVERAGE(N199,O199))</f>
        <v>0</v>
      </c>
    </row>
    <row r="200" customFormat="false" ht="15" hidden="false" customHeight="false" outlineLevel="0" collapsed="false">
      <c r="A200" s="2" t="s">
        <v>271</v>
      </c>
      <c r="B200" s="2" t="s">
        <v>249</v>
      </c>
      <c r="C200" s="3" t="n">
        <v>37000</v>
      </c>
      <c r="D200" s="2" t="s">
        <v>403</v>
      </c>
      <c r="E200" s="6" t="n">
        <f aca="false">'Zoning Research'!G200</f>
        <v>0</v>
      </c>
      <c r="F200" s="6" t="n">
        <f aca="false">'Zoning Research'!Q200</f>
        <v>0</v>
      </c>
      <c r="G200" s="6" t="n">
        <f aca="false">'Zoning Research'!V200</f>
        <v>0</v>
      </c>
      <c r="H200" s="6" t="n">
        <f aca="false">'Zoning Research'!Z200</f>
        <v>0</v>
      </c>
      <c r="I200" s="6" t="n">
        <f aca="false">'Zoning Research'!AE200</f>
        <v>0</v>
      </c>
      <c r="J200" s="12" t="n">
        <f aca="false">'Zoning Research'!AF200</f>
        <v>0</v>
      </c>
      <c r="K200" s="6" t="n">
        <f aca="false">'Zoning Research'!AG200</f>
        <v>0</v>
      </c>
      <c r="L200" s="6" t="n">
        <f aca="false">'Zoning Research'!AH200</f>
        <v>0</v>
      </c>
      <c r="M200" s="6" t="n">
        <f aca="false">'Zoning Research'!AI200</f>
        <v>0</v>
      </c>
      <c r="N200" s="6"/>
      <c r="O200" s="6"/>
      <c r="P200" s="6"/>
    </row>
    <row r="201" customFormat="false" ht="15" hidden="false" customHeight="false" outlineLevel="0" collapsed="false">
      <c r="A201" s="2" t="s">
        <v>272</v>
      </c>
      <c r="B201" s="2" t="s">
        <v>249</v>
      </c>
      <c r="C201" s="3" t="n">
        <v>36500</v>
      </c>
      <c r="D201" s="2" t="s">
        <v>403</v>
      </c>
      <c r="E201" s="6" t="n">
        <f aca="false">'Zoning Research'!G201</f>
        <v>20</v>
      </c>
      <c r="F201" s="6" t="n">
        <f aca="false">'Zoning Research'!Q201</f>
        <v>20</v>
      </c>
      <c r="G201" s="6" t="n">
        <f aca="false">'Zoning Research'!V201</f>
        <v>20</v>
      </c>
      <c r="H201" s="6" t="n">
        <f aca="false">'Zoning Research'!Z201</f>
        <v>20</v>
      </c>
      <c r="I201" s="6" t="n">
        <f aca="false">'Zoning Research'!AE201</f>
        <v>20</v>
      </c>
      <c r="J201" s="12" t="n">
        <f aca="false">'Zoning Research'!AF201</f>
        <v>100</v>
      </c>
      <c r="K201" s="6" t="n">
        <f aca="false">'Zoning Research'!AG201</f>
        <v>0</v>
      </c>
      <c r="L201" s="6" t="n">
        <f aca="false">'Zoning Research'!AH201</f>
        <v>0</v>
      </c>
      <c r="M201" s="6" t="str">
        <f aca="false">'Zoning Research'!AI201</f>
        <v>AI Estimate</v>
      </c>
      <c r="N201" s="2" t="n">
        <v>100</v>
      </c>
      <c r="O201" s="2" t="n">
        <v>100</v>
      </c>
      <c r="P201" s="2" t="n">
        <f aca="false">IF(J201="","",J201-AVERAGE(N201,O201))</f>
        <v>0</v>
      </c>
    </row>
    <row r="202" customFormat="false" ht="15" hidden="false" customHeight="false" outlineLevel="0" collapsed="false">
      <c r="A202" s="2" t="s">
        <v>231</v>
      </c>
      <c r="B202" s="2" t="s">
        <v>249</v>
      </c>
      <c r="C202" s="3" t="n">
        <v>36000</v>
      </c>
      <c r="D202" s="2" t="s">
        <v>403</v>
      </c>
      <c r="E202" s="6" t="n">
        <f aca="false">'Zoning Research'!G202</f>
        <v>0</v>
      </c>
      <c r="F202" s="6" t="n">
        <f aca="false">'Zoning Research'!Q202</f>
        <v>0</v>
      </c>
      <c r="G202" s="6" t="n">
        <f aca="false">'Zoning Research'!V202</f>
        <v>0</v>
      </c>
      <c r="H202" s="6" t="n">
        <f aca="false">'Zoning Research'!Z202</f>
        <v>0</v>
      </c>
      <c r="I202" s="6" t="n">
        <f aca="false">'Zoning Research'!AE202</f>
        <v>0</v>
      </c>
      <c r="J202" s="12" t="n">
        <f aca="false">'Zoning Research'!AF202</f>
        <v>0</v>
      </c>
      <c r="K202" s="6" t="n">
        <f aca="false">'Zoning Research'!AG202</f>
        <v>0</v>
      </c>
      <c r="L202" s="6" t="n">
        <f aca="false">'Zoning Research'!AH202</f>
        <v>0</v>
      </c>
      <c r="M202" s="6" t="n">
        <f aca="false">'Zoning Research'!AI202</f>
        <v>0</v>
      </c>
      <c r="N202" s="6"/>
      <c r="O202" s="6"/>
      <c r="P202" s="6"/>
    </row>
    <row r="203" customFormat="false" ht="15" hidden="false" customHeight="false" outlineLevel="0" collapsed="false">
      <c r="A203" s="2" t="s">
        <v>273</v>
      </c>
      <c r="B203" s="2" t="s">
        <v>249</v>
      </c>
      <c r="C203" s="3" t="n">
        <v>36000</v>
      </c>
      <c r="D203" s="2" t="s">
        <v>403</v>
      </c>
      <c r="E203" s="6" t="n">
        <f aca="false">'Zoning Research'!G203</f>
        <v>0</v>
      </c>
      <c r="F203" s="6" t="n">
        <f aca="false">'Zoning Research'!Q203</f>
        <v>0</v>
      </c>
      <c r="G203" s="6" t="n">
        <f aca="false">'Zoning Research'!V203</f>
        <v>0</v>
      </c>
      <c r="H203" s="6" t="n">
        <f aca="false">'Zoning Research'!Z203</f>
        <v>0</v>
      </c>
      <c r="I203" s="6" t="n">
        <f aca="false">'Zoning Research'!AE203</f>
        <v>0</v>
      </c>
      <c r="J203" s="12" t="n">
        <f aca="false">'Zoning Research'!AF203</f>
        <v>0</v>
      </c>
      <c r="K203" s="6" t="n">
        <f aca="false">'Zoning Research'!AG203</f>
        <v>0</v>
      </c>
      <c r="L203" s="6" t="n">
        <f aca="false">'Zoning Research'!AH203</f>
        <v>0</v>
      </c>
      <c r="M203" s="6" t="n">
        <f aca="false">'Zoning Research'!AI203</f>
        <v>0</v>
      </c>
      <c r="N203" s="6"/>
      <c r="O203" s="6"/>
      <c r="P203" s="6"/>
    </row>
    <row r="204" customFormat="false" ht="15" hidden="false" customHeight="false" outlineLevel="0" collapsed="false">
      <c r="A204" s="2" t="s">
        <v>274</v>
      </c>
      <c r="B204" s="2" t="s">
        <v>249</v>
      </c>
      <c r="C204" s="3" t="n">
        <v>35000</v>
      </c>
      <c r="D204" s="2" t="s">
        <v>403</v>
      </c>
      <c r="E204" s="6" t="n">
        <f aca="false">'Zoning Research'!G204</f>
        <v>20</v>
      </c>
      <c r="F204" s="6" t="n">
        <f aca="false">'Zoning Research'!Q204</f>
        <v>20</v>
      </c>
      <c r="G204" s="6" t="n">
        <f aca="false">'Zoning Research'!V204</f>
        <v>20</v>
      </c>
      <c r="H204" s="6" t="n">
        <f aca="false">'Zoning Research'!Z204</f>
        <v>20</v>
      </c>
      <c r="I204" s="6" t="n">
        <f aca="false">'Zoning Research'!AE204</f>
        <v>20</v>
      </c>
      <c r="J204" s="12" t="n">
        <f aca="false">'Zoning Research'!AF204</f>
        <v>100</v>
      </c>
      <c r="K204" s="6" t="n">
        <f aca="false">'Zoning Research'!AG204</f>
        <v>0</v>
      </c>
      <c r="L204" s="6" t="n">
        <f aca="false">'Zoning Research'!AH204</f>
        <v>0</v>
      </c>
      <c r="M204" s="6" t="str">
        <f aca="false">'Zoning Research'!AI204</f>
        <v>AI Estimate</v>
      </c>
      <c r="N204" s="2" t="n">
        <v>100</v>
      </c>
      <c r="O204" s="2" t="n">
        <v>100</v>
      </c>
      <c r="P204" s="2" t="n">
        <f aca="false">IF(J204="","",J204-AVERAGE(N204,O204))</f>
        <v>0</v>
      </c>
    </row>
    <row r="205" customFormat="false" ht="15" hidden="false" customHeight="false" outlineLevel="0" collapsed="false">
      <c r="A205" s="2" t="s">
        <v>275</v>
      </c>
      <c r="B205" s="2" t="s">
        <v>249</v>
      </c>
      <c r="C205" s="3" t="n">
        <v>33000</v>
      </c>
      <c r="D205" s="2" t="s">
        <v>403</v>
      </c>
      <c r="E205" s="6" t="n">
        <f aca="false">'Zoning Research'!G205</f>
        <v>0</v>
      </c>
      <c r="F205" s="6" t="n">
        <f aca="false">'Zoning Research'!Q205</f>
        <v>0</v>
      </c>
      <c r="G205" s="6" t="n">
        <f aca="false">'Zoning Research'!V205</f>
        <v>0</v>
      </c>
      <c r="H205" s="6" t="n">
        <f aca="false">'Zoning Research'!Z205</f>
        <v>0</v>
      </c>
      <c r="I205" s="6" t="n">
        <f aca="false">'Zoning Research'!AE205</f>
        <v>0</v>
      </c>
      <c r="J205" s="12" t="n">
        <f aca="false">'Zoning Research'!AF205</f>
        <v>0</v>
      </c>
      <c r="K205" s="6" t="n">
        <f aca="false">'Zoning Research'!AG205</f>
        <v>0</v>
      </c>
      <c r="L205" s="6" t="n">
        <f aca="false">'Zoning Research'!AH205</f>
        <v>0</v>
      </c>
      <c r="M205" s="6" t="n">
        <f aca="false">'Zoning Research'!AI205</f>
        <v>0</v>
      </c>
      <c r="N205" s="6"/>
      <c r="O205" s="6"/>
      <c r="P205" s="6"/>
    </row>
    <row r="206" customFormat="false" ht="15" hidden="false" customHeight="false" outlineLevel="0" collapsed="false">
      <c r="A206" s="2" t="s">
        <v>276</v>
      </c>
      <c r="B206" s="2" t="s">
        <v>249</v>
      </c>
      <c r="C206" s="3" t="n">
        <v>32000</v>
      </c>
      <c r="D206" s="2" t="s">
        <v>403</v>
      </c>
      <c r="E206" s="6" t="n">
        <f aca="false">'Zoning Research'!G206</f>
        <v>20</v>
      </c>
      <c r="F206" s="6" t="n">
        <f aca="false">'Zoning Research'!Q206</f>
        <v>20</v>
      </c>
      <c r="G206" s="6" t="n">
        <f aca="false">'Zoning Research'!V206</f>
        <v>20</v>
      </c>
      <c r="H206" s="6" t="n">
        <f aca="false">'Zoning Research'!Z206</f>
        <v>20</v>
      </c>
      <c r="I206" s="6" t="n">
        <f aca="false">'Zoning Research'!AE206</f>
        <v>20</v>
      </c>
      <c r="J206" s="12" t="n">
        <f aca="false">'Zoning Research'!AF206</f>
        <v>100</v>
      </c>
      <c r="K206" s="6" t="n">
        <f aca="false">'Zoning Research'!AG206</f>
        <v>0</v>
      </c>
      <c r="L206" s="6" t="n">
        <f aca="false">'Zoning Research'!AH206</f>
        <v>0</v>
      </c>
      <c r="M206" s="6" t="str">
        <f aca="false">'Zoning Research'!AI206</f>
        <v>AI Estimate</v>
      </c>
      <c r="N206" s="2" t="n">
        <v>100</v>
      </c>
      <c r="O206" s="2" t="n">
        <v>100</v>
      </c>
      <c r="P206" s="2" t="n">
        <f aca="false">IF(J206="","",J206-AVERAGE(N206,O206))</f>
        <v>0</v>
      </c>
    </row>
    <row r="207" customFormat="false" ht="15" hidden="false" customHeight="false" outlineLevel="0" collapsed="false">
      <c r="A207" s="2" t="s">
        <v>278</v>
      </c>
      <c r="B207" s="2" t="s">
        <v>249</v>
      </c>
      <c r="C207" s="3" t="n">
        <v>32000</v>
      </c>
      <c r="D207" s="2" t="s">
        <v>403</v>
      </c>
      <c r="E207" s="6" t="n">
        <f aca="false">'Zoning Research'!G207</f>
        <v>20</v>
      </c>
      <c r="F207" s="6" t="n">
        <f aca="false">'Zoning Research'!Q207</f>
        <v>20</v>
      </c>
      <c r="G207" s="6" t="n">
        <f aca="false">'Zoning Research'!V207</f>
        <v>20</v>
      </c>
      <c r="H207" s="6" t="n">
        <f aca="false">'Zoning Research'!Z207</f>
        <v>20</v>
      </c>
      <c r="I207" s="6" t="n">
        <f aca="false">'Zoning Research'!AE207</f>
        <v>20</v>
      </c>
      <c r="J207" s="12" t="n">
        <f aca="false">'Zoning Research'!AF207</f>
        <v>100</v>
      </c>
      <c r="K207" s="6" t="n">
        <f aca="false">'Zoning Research'!AG207</f>
        <v>0</v>
      </c>
      <c r="L207" s="6" t="n">
        <f aca="false">'Zoning Research'!AH207</f>
        <v>0</v>
      </c>
      <c r="M207" s="6" t="str">
        <f aca="false">'Zoning Research'!AI207</f>
        <v>AI Estimate</v>
      </c>
      <c r="N207" s="2" t="n">
        <v>100</v>
      </c>
      <c r="O207" s="2" t="n">
        <v>100</v>
      </c>
      <c r="P207" s="2" t="n">
        <f aca="false">IF(J207="","",J207-AVERAGE(N207,O207))</f>
        <v>0</v>
      </c>
    </row>
    <row r="208" customFormat="false" ht="15" hidden="false" customHeight="false" outlineLevel="0" collapsed="false">
      <c r="A208" s="2" t="s">
        <v>279</v>
      </c>
      <c r="B208" s="2" t="s">
        <v>249</v>
      </c>
      <c r="C208" s="3" t="n">
        <v>28000</v>
      </c>
      <c r="D208" s="2" t="s">
        <v>403</v>
      </c>
      <c r="E208" s="6" t="n">
        <f aca="false">'Zoning Research'!G208</f>
        <v>20</v>
      </c>
      <c r="F208" s="6" t="n">
        <f aca="false">'Zoning Research'!Q208</f>
        <v>20</v>
      </c>
      <c r="G208" s="6" t="n">
        <f aca="false">'Zoning Research'!V208</f>
        <v>20</v>
      </c>
      <c r="H208" s="6" t="n">
        <f aca="false">'Zoning Research'!Z208</f>
        <v>20</v>
      </c>
      <c r="I208" s="6" t="n">
        <f aca="false">'Zoning Research'!AE208</f>
        <v>20</v>
      </c>
      <c r="J208" s="12" t="n">
        <f aca="false">'Zoning Research'!AF208</f>
        <v>100</v>
      </c>
      <c r="K208" s="6" t="n">
        <f aca="false">'Zoning Research'!AG208</f>
        <v>0</v>
      </c>
      <c r="L208" s="6" t="n">
        <f aca="false">'Zoning Research'!AH208</f>
        <v>0</v>
      </c>
      <c r="M208" s="6" t="str">
        <f aca="false">'Zoning Research'!AI208</f>
        <v>AI Estimate</v>
      </c>
      <c r="N208" s="2" t="n">
        <v>100</v>
      </c>
      <c r="O208" s="2" t="n">
        <v>100</v>
      </c>
      <c r="P208" s="2" t="n">
        <f aca="false">IF(J208="","",J208-AVERAGE(N208,O208))</f>
        <v>0</v>
      </c>
    </row>
    <row r="209" customFormat="false" ht="15" hidden="false" customHeight="false" outlineLevel="0" collapsed="false">
      <c r="A209" s="2" t="s">
        <v>280</v>
      </c>
      <c r="B209" s="2" t="s">
        <v>249</v>
      </c>
      <c r="C209" s="3" t="n">
        <v>27000</v>
      </c>
      <c r="D209" s="2" t="s">
        <v>403</v>
      </c>
      <c r="E209" s="6" t="n">
        <f aca="false">'Zoning Research'!G209</f>
        <v>0</v>
      </c>
      <c r="F209" s="6" t="n">
        <f aca="false">'Zoning Research'!Q209</f>
        <v>0</v>
      </c>
      <c r="G209" s="6" t="n">
        <f aca="false">'Zoning Research'!V209</f>
        <v>0</v>
      </c>
      <c r="H209" s="6" t="n">
        <f aca="false">'Zoning Research'!Z209</f>
        <v>0</v>
      </c>
      <c r="I209" s="6" t="n">
        <f aca="false">'Zoning Research'!AE209</f>
        <v>0</v>
      </c>
      <c r="J209" s="12" t="n">
        <f aca="false">'Zoning Research'!AF209</f>
        <v>0</v>
      </c>
      <c r="K209" s="6" t="n">
        <f aca="false">'Zoning Research'!AG209</f>
        <v>0</v>
      </c>
      <c r="L209" s="6" t="n">
        <f aca="false">'Zoning Research'!AH209</f>
        <v>0</v>
      </c>
      <c r="M209" s="6" t="n">
        <f aca="false">'Zoning Research'!AI209</f>
        <v>0</v>
      </c>
      <c r="N209" s="6"/>
      <c r="O209" s="6"/>
      <c r="P209" s="6"/>
    </row>
    <row r="210" customFormat="false" ht="15" hidden="false" customHeight="false" outlineLevel="0" collapsed="false">
      <c r="A210" s="2" t="s">
        <v>281</v>
      </c>
      <c r="B210" s="2" t="s">
        <v>249</v>
      </c>
      <c r="C210" s="3" t="n">
        <v>27000</v>
      </c>
      <c r="D210" s="2" t="s">
        <v>403</v>
      </c>
      <c r="E210" s="6" t="n">
        <f aca="false">'Zoning Research'!G210</f>
        <v>0</v>
      </c>
      <c r="F210" s="6" t="n">
        <f aca="false">'Zoning Research'!Q210</f>
        <v>0</v>
      </c>
      <c r="G210" s="6" t="n">
        <f aca="false">'Zoning Research'!V210</f>
        <v>0</v>
      </c>
      <c r="H210" s="6" t="n">
        <f aca="false">'Zoning Research'!Z210</f>
        <v>0</v>
      </c>
      <c r="I210" s="6" t="n">
        <f aca="false">'Zoning Research'!AE210</f>
        <v>0</v>
      </c>
      <c r="J210" s="12" t="n">
        <f aca="false">'Zoning Research'!AF210</f>
        <v>0</v>
      </c>
      <c r="K210" s="6" t="n">
        <f aca="false">'Zoning Research'!AG210</f>
        <v>0</v>
      </c>
      <c r="L210" s="6" t="n">
        <f aca="false">'Zoning Research'!AH210</f>
        <v>0</v>
      </c>
      <c r="M210" s="6" t="n">
        <f aca="false">'Zoning Research'!AI210</f>
        <v>0</v>
      </c>
      <c r="N210" s="6"/>
      <c r="O210" s="6"/>
      <c r="P210" s="6"/>
    </row>
    <row r="211" customFormat="false" ht="15" hidden="false" customHeight="false" outlineLevel="0" collapsed="false">
      <c r="A211" s="2" t="s">
        <v>282</v>
      </c>
      <c r="B211" s="2" t="s">
        <v>249</v>
      </c>
      <c r="C211" s="3" t="n">
        <v>27000</v>
      </c>
      <c r="D211" s="2" t="s">
        <v>403</v>
      </c>
      <c r="E211" s="6" t="n">
        <f aca="false">'Zoning Research'!G211</f>
        <v>0</v>
      </c>
      <c r="F211" s="6" t="n">
        <f aca="false">'Zoning Research'!Q211</f>
        <v>0</v>
      </c>
      <c r="G211" s="6" t="n">
        <f aca="false">'Zoning Research'!V211</f>
        <v>0</v>
      </c>
      <c r="H211" s="6" t="n">
        <f aca="false">'Zoning Research'!Z211</f>
        <v>0</v>
      </c>
      <c r="I211" s="6" t="n">
        <f aca="false">'Zoning Research'!AE211</f>
        <v>0</v>
      </c>
      <c r="J211" s="12" t="n">
        <f aca="false">'Zoning Research'!AF211</f>
        <v>0</v>
      </c>
      <c r="K211" s="6" t="n">
        <f aca="false">'Zoning Research'!AG211</f>
        <v>0</v>
      </c>
      <c r="L211" s="6" t="n">
        <f aca="false">'Zoning Research'!AH211</f>
        <v>0</v>
      </c>
      <c r="M211" s="6" t="n">
        <f aca="false">'Zoning Research'!AI211</f>
        <v>0</v>
      </c>
      <c r="N211" s="6"/>
      <c r="O211" s="6"/>
      <c r="P211" s="6"/>
    </row>
    <row r="212" customFormat="false" ht="15" hidden="false" customHeight="false" outlineLevel="0" collapsed="false">
      <c r="A212" s="2" t="s">
        <v>284</v>
      </c>
      <c r="B212" s="2" t="s">
        <v>249</v>
      </c>
      <c r="C212" s="3" t="n">
        <v>26000</v>
      </c>
      <c r="D212" s="2" t="s">
        <v>403</v>
      </c>
      <c r="E212" s="6" t="n">
        <f aca="false">'Zoning Research'!G212</f>
        <v>0</v>
      </c>
      <c r="F212" s="6" t="n">
        <f aca="false">'Zoning Research'!Q212</f>
        <v>0</v>
      </c>
      <c r="G212" s="6" t="n">
        <f aca="false">'Zoning Research'!V212</f>
        <v>0</v>
      </c>
      <c r="H212" s="6" t="n">
        <f aca="false">'Zoning Research'!Z212</f>
        <v>0</v>
      </c>
      <c r="I212" s="6" t="n">
        <f aca="false">'Zoning Research'!AE212</f>
        <v>0</v>
      </c>
      <c r="J212" s="12" t="n">
        <f aca="false">'Zoning Research'!AF212</f>
        <v>0</v>
      </c>
      <c r="K212" s="6" t="n">
        <f aca="false">'Zoning Research'!AG212</f>
        <v>0</v>
      </c>
      <c r="L212" s="6" t="n">
        <f aca="false">'Zoning Research'!AH212</f>
        <v>0</v>
      </c>
      <c r="M212" s="6" t="n">
        <f aca="false">'Zoning Research'!AI212</f>
        <v>0</v>
      </c>
      <c r="N212" s="6"/>
      <c r="O212" s="6"/>
      <c r="P212" s="6"/>
    </row>
    <row r="213" customFormat="false" ht="15" hidden="false" customHeight="false" outlineLevel="0" collapsed="false">
      <c r="A213" s="2" t="s">
        <v>285</v>
      </c>
      <c r="B213" s="2" t="s">
        <v>249</v>
      </c>
      <c r="C213" s="3" t="n">
        <v>25000</v>
      </c>
      <c r="D213" s="2" t="s">
        <v>403</v>
      </c>
      <c r="E213" s="6" t="n">
        <f aca="false">'Zoning Research'!G213</f>
        <v>0</v>
      </c>
      <c r="F213" s="6" t="n">
        <f aca="false">'Zoning Research'!Q213</f>
        <v>0</v>
      </c>
      <c r="G213" s="6" t="n">
        <f aca="false">'Zoning Research'!V213</f>
        <v>0</v>
      </c>
      <c r="H213" s="6" t="n">
        <f aca="false">'Zoning Research'!Z213</f>
        <v>0</v>
      </c>
      <c r="I213" s="6" t="n">
        <f aca="false">'Zoning Research'!AE213</f>
        <v>0</v>
      </c>
      <c r="J213" s="12" t="n">
        <f aca="false">'Zoning Research'!AF213</f>
        <v>0</v>
      </c>
      <c r="K213" s="6" t="n">
        <f aca="false">'Zoning Research'!AG213</f>
        <v>0</v>
      </c>
      <c r="L213" s="6" t="n">
        <f aca="false">'Zoning Research'!AH213</f>
        <v>0</v>
      </c>
      <c r="M213" s="6" t="n">
        <f aca="false">'Zoning Research'!AI213</f>
        <v>0</v>
      </c>
      <c r="N213" s="6"/>
      <c r="O213" s="6"/>
      <c r="P213" s="6"/>
    </row>
    <row r="214" customFormat="false" ht="15" hidden="false" customHeight="false" outlineLevel="0" collapsed="false">
      <c r="A214" s="2" t="s">
        <v>286</v>
      </c>
      <c r="B214" s="2" t="s">
        <v>249</v>
      </c>
      <c r="C214" s="3" t="n">
        <v>25000</v>
      </c>
      <c r="D214" s="2" t="s">
        <v>403</v>
      </c>
      <c r="E214" s="6" t="n">
        <f aca="false">'Zoning Research'!G214</f>
        <v>0</v>
      </c>
      <c r="F214" s="6" t="n">
        <f aca="false">'Zoning Research'!Q214</f>
        <v>0</v>
      </c>
      <c r="G214" s="6" t="n">
        <f aca="false">'Zoning Research'!V214</f>
        <v>0</v>
      </c>
      <c r="H214" s="6" t="n">
        <f aca="false">'Zoning Research'!Z214</f>
        <v>0</v>
      </c>
      <c r="I214" s="6" t="n">
        <f aca="false">'Zoning Research'!AE214</f>
        <v>0</v>
      </c>
      <c r="J214" s="12" t="n">
        <f aca="false">'Zoning Research'!AF214</f>
        <v>0</v>
      </c>
      <c r="K214" s="6" t="n">
        <f aca="false">'Zoning Research'!AG214</f>
        <v>0</v>
      </c>
      <c r="L214" s="6" t="n">
        <f aca="false">'Zoning Research'!AH214</f>
        <v>0</v>
      </c>
      <c r="M214" s="6" t="n">
        <f aca="false">'Zoning Research'!AI214</f>
        <v>0</v>
      </c>
      <c r="N214" s="6"/>
      <c r="O214" s="6"/>
      <c r="P214" s="6"/>
    </row>
    <row r="215" customFormat="false" ht="15" hidden="false" customHeight="false" outlineLevel="0" collapsed="false">
      <c r="A215" s="2" t="s">
        <v>287</v>
      </c>
      <c r="B215" s="2" t="s">
        <v>249</v>
      </c>
      <c r="C215" s="3" t="n">
        <v>24000</v>
      </c>
      <c r="D215" s="2" t="s">
        <v>403</v>
      </c>
      <c r="E215" s="6" t="n">
        <f aca="false">'Zoning Research'!G215</f>
        <v>20</v>
      </c>
      <c r="F215" s="6" t="n">
        <f aca="false">'Zoning Research'!Q215</f>
        <v>20</v>
      </c>
      <c r="G215" s="6" t="n">
        <f aca="false">'Zoning Research'!V215</f>
        <v>20</v>
      </c>
      <c r="H215" s="6" t="n">
        <f aca="false">'Zoning Research'!Z215</f>
        <v>20</v>
      </c>
      <c r="I215" s="6" t="n">
        <f aca="false">'Zoning Research'!AE215</f>
        <v>20</v>
      </c>
      <c r="J215" s="12" t="n">
        <f aca="false">'Zoning Research'!AF215</f>
        <v>100</v>
      </c>
      <c r="K215" s="6" t="n">
        <f aca="false">'Zoning Research'!AG215</f>
        <v>0</v>
      </c>
      <c r="L215" s="6" t="n">
        <f aca="false">'Zoning Research'!AH215</f>
        <v>0</v>
      </c>
      <c r="M215" s="6" t="str">
        <f aca="false">'Zoning Research'!AI215</f>
        <v>AI Estimate</v>
      </c>
      <c r="N215" s="2" t="n">
        <v>100</v>
      </c>
      <c r="O215" s="2" t="n">
        <v>100</v>
      </c>
      <c r="P215" s="2" t="n">
        <f aca="false">IF(J215="","",J215-AVERAGE(N215,O215))</f>
        <v>0</v>
      </c>
    </row>
    <row r="216" customFormat="false" ht="15" hidden="false" customHeight="false" outlineLevel="0" collapsed="false">
      <c r="A216" s="2" t="s">
        <v>288</v>
      </c>
      <c r="B216" s="2" t="s">
        <v>249</v>
      </c>
      <c r="C216" s="3" t="n">
        <v>24000</v>
      </c>
      <c r="D216" s="2" t="s">
        <v>403</v>
      </c>
      <c r="E216" s="6" t="n">
        <f aca="false">'Zoning Research'!G216</f>
        <v>16</v>
      </c>
      <c r="F216" s="6" t="n">
        <f aca="false">'Zoning Research'!Q216</f>
        <v>16</v>
      </c>
      <c r="G216" s="6" t="n">
        <f aca="false">'Zoning Research'!V216</f>
        <v>16</v>
      </c>
      <c r="H216" s="6" t="n">
        <f aca="false">'Zoning Research'!Z216</f>
        <v>16</v>
      </c>
      <c r="I216" s="6" t="n">
        <f aca="false">'Zoning Research'!AE216</f>
        <v>16</v>
      </c>
      <c r="J216" s="12" t="n">
        <f aca="false">'Zoning Research'!AF216</f>
        <v>80</v>
      </c>
      <c r="K216" s="6" t="n">
        <f aca="false">'Zoning Research'!AG216</f>
        <v>0</v>
      </c>
      <c r="L216" s="6" t="n">
        <f aca="false">'Zoning Research'!AH216</f>
        <v>0</v>
      </c>
      <c r="M216" s="6" t="str">
        <f aca="false">'Zoning Research'!AI216</f>
        <v>AI Estimate</v>
      </c>
      <c r="N216" s="2" t="n">
        <v>65</v>
      </c>
      <c r="O216" s="2" t="n">
        <v>100</v>
      </c>
      <c r="P216" s="2" t="n">
        <f aca="false">IF(J216="","",J216-AVERAGE(N216,O216))</f>
        <v>-2.5</v>
      </c>
    </row>
    <row r="217" customFormat="false" ht="15" hidden="false" customHeight="false" outlineLevel="0" collapsed="false">
      <c r="A217" s="2" t="s">
        <v>290</v>
      </c>
      <c r="B217" s="2" t="s">
        <v>249</v>
      </c>
      <c r="C217" s="3" t="n">
        <v>23000</v>
      </c>
      <c r="D217" s="2" t="s">
        <v>403</v>
      </c>
      <c r="E217" s="6" t="n">
        <f aca="false">'Zoning Research'!G217</f>
        <v>0</v>
      </c>
      <c r="F217" s="6" t="n">
        <f aca="false">'Zoning Research'!Q217</f>
        <v>0</v>
      </c>
      <c r="G217" s="6" t="n">
        <f aca="false">'Zoning Research'!V217</f>
        <v>0</v>
      </c>
      <c r="H217" s="6" t="n">
        <f aca="false">'Zoning Research'!Z217</f>
        <v>0</v>
      </c>
      <c r="I217" s="6" t="n">
        <f aca="false">'Zoning Research'!AE217</f>
        <v>0</v>
      </c>
      <c r="J217" s="12" t="n">
        <f aca="false">'Zoning Research'!AF217</f>
        <v>0</v>
      </c>
      <c r="K217" s="6" t="n">
        <f aca="false">'Zoning Research'!AG217</f>
        <v>0</v>
      </c>
      <c r="L217" s="6" t="n">
        <f aca="false">'Zoning Research'!AH217</f>
        <v>0</v>
      </c>
      <c r="M217" s="6" t="n">
        <f aca="false">'Zoning Research'!AI217</f>
        <v>0</v>
      </c>
      <c r="N217" s="6"/>
      <c r="O217" s="6"/>
      <c r="P217" s="6"/>
    </row>
    <row r="218" customFormat="false" ht="15" hidden="false" customHeight="false" outlineLevel="0" collapsed="false">
      <c r="A218" s="2" t="s">
        <v>291</v>
      </c>
      <c r="B218" s="2" t="s">
        <v>249</v>
      </c>
      <c r="C218" s="3" t="n">
        <v>21000</v>
      </c>
      <c r="D218" s="2" t="s">
        <v>403</v>
      </c>
      <c r="E218" s="6" t="n">
        <f aca="false">'Zoning Research'!G218</f>
        <v>0</v>
      </c>
      <c r="F218" s="6" t="n">
        <f aca="false">'Zoning Research'!Q218</f>
        <v>0</v>
      </c>
      <c r="G218" s="6" t="n">
        <f aca="false">'Zoning Research'!V218</f>
        <v>0</v>
      </c>
      <c r="H218" s="6" t="n">
        <f aca="false">'Zoning Research'!Z218</f>
        <v>0</v>
      </c>
      <c r="I218" s="6" t="n">
        <f aca="false">'Zoning Research'!AE218</f>
        <v>0</v>
      </c>
      <c r="J218" s="12" t="n">
        <f aca="false">'Zoning Research'!AF218</f>
        <v>0</v>
      </c>
      <c r="K218" s="6" t="n">
        <f aca="false">'Zoning Research'!AG218</f>
        <v>0</v>
      </c>
      <c r="L218" s="6" t="n">
        <f aca="false">'Zoning Research'!AH218</f>
        <v>0</v>
      </c>
      <c r="M218" s="6" t="n">
        <f aca="false">'Zoning Research'!AI218</f>
        <v>0</v>
      </c>
      <c r="N218" s="6"/>
      <c r="O218" s="6"/>
      <c r="P218" s="6"/>
    </row>
    <row r="219" customFormat="false" ht="15" hidden="false" customHeight="false" outlineLevel="0" collapsed="false">
      <c r="A219" s="2" t="s">
        <v>292</v>
      </c>
      <c r="B219" s="2" t="s">
        <v>249</v>
      </c>
      <c r="C219" s="3" t="n">
        <v>21000</v>
      </c>
      <c r="D219" s="2" t="s">
        <v>403</v>
      </c>
      <c r="E219" s="6" t="n">
        <f aca="false">'Zoning Research'!G219</f>
        <v>0</v>
      </c>
      <c r="F219" s="6" t="n">
        <f aca="false">'Zoning Research'!Q219</f>
        <v>0</v>
      </c>
      <c r="G219" s="6" t="n">
        <f aca="false">'Zoning Research'!V219</f>
        <v>0</v>
      </c>
      <c r="H219" s="6" t="n">
        <f aca="false">'Zoning Research'!Z219</f>
        <v>0</v>
      </c>
      <c r="I219" s="6" t="n">
        <f aca="false">'Zoning Research'!AE219</f>
        <v>0</v>
      </c>
      <c r="J219" s="12" t="n">
        <f aca="false">'Zoning Research'!AF219</f>
        <v>0</v>
      </c>
      <c r="K219" s="6" t="n">
        <f aca="false">'Zoning Research'!AG219</f>
        <v>0</v>
      </c>
      <c r="L219" s="6" t="n">
        <f aca="false">'Zoning Research'!AH219</f>
        <v>0</v>
      </c>
      <c r="M219" s="6" t="n">
        <f aca="false">'Zoning Research'!AI219</f>
        <v>0</v>
      </c>
      <c r="N219" s="6"/>
      <c r="O219" s="6"/>
      <c r="P219" s="6"/>
    </row>
    <row r="220" customFormat="false" ht="15" hidden="false" customHeight="false" outlineLevel="0" collapsed="false">
      <c r="A220" s="2" t="s">
        <v>293</v>
      </c>
      <c r="B220" s="2" t="s">
        <v>249</v>
      </c>
      <c r="C220" s="3" t="n">
        <v>20000</v>
      </c>
      <c r="D220" s="2" t="s">
        <v>403</v>
      </c>
      <c r="E220" s="6" t="n">
        <f aca="false">'Zoning Research'!G220</f>
        <v>20</v>
      </c>
      <c r="F220" s="6" t="n">
        <f aca="false">'Zoning Research'!Q220</f>
        <v>20</v>
      </c>
      <c r="G220" s="6" t="n">
        <f aca="false">'Zoning Research'!V220</f>
        <v>20</v>
      </c>
      <c r="H220" s="6" t="n">
        <f aca="false">'Zoning Research'!Z220</f>
        <v>20</v>
      </c>
      <c r="I220" s="6" t="n">
        <f aca="false">'Zoning Research'!AE220</f>
        <v>20</v>
      </c>
      <c r="J220" s="12" t="n">
        <f aca="false">'Zoning Research'!AF220</f>
        <v>100</v>
      </c>
      <c r="K220" s="6" t="n">
        <f aca="false">'Zoning Research'!AG220</f>
        <v>0</v>
      </c>
      <c r="L220" s="6" t="n">
        <f aca="false">'Zoning Research'!AH220</f>
        <v>0</v>
      </c>
      <c r="M220" s="6" t="str">
        <f aca="false">'Zoning Research'!AI220</f>
        <v>AI Estimate</v>
      </c>
      <c r="N220" s="2" t="n">
        <v>100</v>
      </c>
      <c r="O220" s="2" t="n">
        <v>100</v>
      </c>
      <c r="P220" s="2" t="n">
        <f aca="false">IF(J220="","",J220-AVERAGE(N220,O220))</f>
        <v>0</v>
      </c>
    </row>
    <row r="221" customFormat="false" ht="15" hidden="false" customHeight="false" outlineLevel="0" collapsed="false">
      <c r="A221" s="2" t="s">
        <v>294</v>
      </c>
      <c r="B221" s="2" t="s">
        <v>249</v>
      </c>
      <c r="C221" s="3" t="n">
        <v>19000</v>
      </c>
      <c r="D221" s="2" t="s">
        <v>403</v>
      </c>
      <c r="E221" s="6" t="n">
        <f aca="false">'Zoning Research'!G221</f>
        <v>20</v>
      </c>
      <c r="F221" s="6" t="n">
        <f aca="false">'Zoning Research'!Q221</f>
        <v>20</v>
      </c>
      <c r="G221" s="6" t="n">
        <f aca="false">'Zoning Research'!V221</f>
        <v>20</v>
      </c>
      <c r="H221" s="6" t="n">
        <f aca="false">'Zoning Research'!Z221</f>
        <v>20</v>
      </c>
      <c r="I221" s="6" t="n">
        <f aca="false">'Zoning Research'!AE221</f>
        <v>20</v>
      </c>
      <c r="J221" s="12" t="n">
        <f aca="false">'Zoning Research'!AF221</f>
        <v>100</v>
      </c>
      <c r="K221" s="6" t="n">
        <f aca="false">'Zoning Research'!AG221</f>
        <v>0</v>
      </c>
      <c r="L221" s="6" t="n">
        <f aca="false">'Zoning Research'!AH221</f>
        <v>0</v>
      </c>
      <c r="M221" s="6" t="str">
        <f aca="false">'Zoning Research'!AI221</f>
        <v>AI Estimate</v>
      </c>
      <c r="N221" s="2" t="n">
        <v>100</v>
      </c>
      <c r="O221" s="2" t="n">
        <v>100</v>
      </c>
      <c r="P221" s="2" t="n">
        <f aca="false">IF(J221="","",J221-AVERAGE(N221,O221))</f>
        <v>0</v>
      </c>
    </row>
    <row r="222" customFormat="false" ht="15" hidden="false" customHeight="false" outlineLevel="0" collapsed="false">
      <c r="A222" s="2" t="s">
        <v>200</v>
      </c>
      <c r="B222" s="2" t="s">
        <v>249</v>
      </c>
      <c r="C222" s="3" t="n">
        <v>19000</v>
      </c>
      <c r="D222" s="2" t="s">
        <v>403</v>
      </c>
      <c r="E222" s="6" t="n">
        <f aca="false">'Zoning Research'!G222</f>
        <v>0</v>
      </c>
      <c r="F222" s="6" t="n">
        <f aca="false">'Zoning Research'!Q222</f>
        <v>0</v>
      </c>
      <c r="G222" s="6" t="n">
        <f aca="false">'Zoning Research'!V222</f>
        <v>0</v>
      </c>
      <c r="H222" s="6" t="n">
        <f aca="false">'Zoning Research'!Z222</f>
        <v>0</v>
      </c>
      <c r="I222" s="6" t="n">
        <f aca="false">'Zoning Research'!AE222</f>
        <v>0</v>
      </c>
      <c r="J222" s="12" t="n">
        <f aca="false">'Zoning Research'!AF222</f>
        <v>0</v>
      </c>
      <c r="K222" s="6" t="n">
        <f aca="false">'Zoning Research'!AG222</f>
        <v>0</v>
      </c>
      <c r="L222" s="6" t="n">
        <f aca="false">'Zoning Research'!AH222</f>
        <v>0</v>
      </c>
      <c r="M222" s="6" t="n">
        <f aca="false">'Zoning Research'!AI222</f>
        <v>0</v>
      </c>
      <c r="N222" s="6"/>
      <c r="O222" s="6"/>
      <c r="P222" s="6"/>
    </row>
    <row r="223" customFormat="false" ht="15" hidden="false" customHeight="false" outlineLevel="0" collapsed="false">
      <c r="A223" s="2" t="s">
        <v>295</v>
      </c>
      <c r="B223" s="2" t="s">
        <v>249</v>
      </c>
      <c r="C223" s="3" t="n">
        <v>19000</v>
      </c>
      <c r="D223" s="2" t="s">
        <v>403</v>
      </c>
      <c r="E223" s="6" t="n">
        <f aca="false">'Zoning Research'!G223</f>
        <v>0</v>
      </c>
      <c r="F223" s="6" t="n">
        <f aca="false">'Zoning Research'!Q223</f>
        <v>0</v>
      </c>
      <c r="G223" s="6" t="n">
        <f aca="false">'Zoning Research'!V223</f>
        <v>0</v>
      </c>
      <c r="H223" s="6" t="n">
        <f aca="false">'Zoning Research'!Z223</f>
        <v>0</v>
      </c>
      <c r="I223" s="6" t="n">
        <f aca="false">'Zoning Research'!AE223</f>
        <v>0</v>
      </c>
      <c r="J223" s="12" t="n">
        <f aca="false">'Zoning Research'!AF223</f>
        <v>0</v>
      </c>
      <c r="K223" s="6" t="n">
        <f aca="false">'Zoning Research'!AG223</f>
        <v>0</v>
      </c>
      <c r="L223" s="6" t="n">
        <f aca="false">'Zoning Research'!AH223</f>
        <v>0</v>
      </c>
      <c r="M223" s="6" t="n">
        <f aca="false">'Zoning Research'!AI223</f>
        <v>0</v>
      </c>
      <c r="N223" s="6"/>
      <c r="O223" s="6"/>
      <c r="P223" s="6"/>
    </row>
    <row r="224" customFormat="false" ht="15" hidden="false" customHeight="false" outlineLevel="0" collapsed="false">
      <c r="A224" s="2" t="s">
        <v>297</v>
      </c>
      <c r="B224" s="2" t="s">
        <v>249</v>
      </c>
      <c r="C224" s="3" t="n">
        <v>19000</v>
      </c>
      <c r="D224" s="2" t="s">
        <v>403</v>
      </c>
      <c r="E224" s="6" t="n">
        <f aca="false">'Zoning Research'!G224</f>
        <v>0</v>
      </c>
      <c r="F224" s="6" t="n">
        <f aca="false">'Zoning Research'!Q224</f>
        <v>0</v>
      </c>
      <c r="G224" s="6" t="n">
        <f aca="false">'Zoning Research'!V224</f>
        <v>0</v>
      </c>
      <c r="H224" s="6" t="n">
        <f aca="false">'Zoning Research'!Z224</f>
        <v>0</v>
      </c>
      <c r="I224" s="6" t="n">
        <f aca="false">'Zoning Research'!AE224</f>
        <v>0</v>
      </c>
      <c r="J224" s="12" t="n">
        <f aca="false">'Zoning Research'!AF224</f>
        <v>0</v>
      </c>
      <c r="K224" s="6" t="n">
        <f aca="false">'Zoning Research'!AG224</f>
        <v>0</v>
      </c>
      <c r="L224" s="6" t="n">
        <f aca="false">'Zoning Research'!AH224</f>
        <v>0</v>
      </c>
      <c r="M224" s="6" t="n">
        <f aca="false">'Zoning Research'!AI224</f>
        <v>0</v>
      </c>
      <c r="N224" s="6"/>
      <c r="O224" s="6"/>
      <c r="P224" s="6"/>
    </row>
    <row r="225" customFormat="false" ht="15" hidden="false" customHeight="false" outlineLevel="0" collapsed="false">
      <c r="A225" s="2" t="s">
        <v>298</v>
      </c>
      <c r="B225" s="2" t="s">
        <v>249</v>
      </c>
      <c r="C225" s="3" t="n">
        <v>18000</v>
      </c>
      <c r="D225" s="2" t="s">
        <v>403</v>
      </c>
      <c r="E225" s="6" t="n">
        <f aca="false">'Zoning Research'!G225</f>
        <v>0</v>
      </c>
      <c r="F225" s="6" t="n">
        <f aca="false">'Zoning Research'!Q225</f>
        <v>0</v>
      </c>
      <c r="G225" s="6" t="n">
        <f aca="false">'Zoning Research'!V225</f>
        <v>0</v>
      </c>
      <c r="H225" s="6" t="n">
        <f aca="false">'Zoning Research'!Z225</f>
        <v>0</v>
      </c>
      <c r="I225" s="6" t="n">
        <f aca="false">'Zoning Research'!AE225</f>
        <v>0</v>
      </c>
      <c r="J225" s="12" t="n">
        <f aca="false">'Zoning Research'!AF225</f>
        <v>0</v>
      </c>
      <c r="K225" s="6" t="n">
        <f aca="false">'Zoning Research'!AG225</f>
        <v>0</v>
      </c>
      <c r="L225" s="6" t="n">
        <f aca="false">'Zoning Research'!AH225</f>
        <v>0</v>
      </c>
      <c r="M225" s="6" t="n">
        <f aca="false">'Zoning Research'!AI225</f>
        <v>0</v>
      </c>
      <c r="N225" s="6"/>
      <c r="O225" s="6"/>
      <c r="P225" s="6"/>
    </row>
    <row r="226" customFormat="false" ht="15" hidden="false" customHeight="false" outlineLevel="0" collapsed="false">
      <c r="A226" s="2" t="s">
        <v>299</v>
      </c>
      <c r="B226" s="2" t="s">
        <v>249</v>
      </c>
      <c r="C226" s="3" t="n">
        <v>18000</v>
      </c>
      <c r="D226" s="2" t="s">
        <v>403</v>
      </c>
      <c r="E226" s="6" t="n">
        <f aca="false">'Zoning Research'!G226</f>
        <v>0</v>
      </c>
      <c r="F226" s="6" t="n">
        <f aca="false">'Zoning Research'!Q226</f>
        <v>0</v>
      </c>
      <c r="G226" s="6" t="n">
        <f aca="false">'Zoning Research'!V226</f>
        <v>0</v>
      </c>
      <c r="H226" s="6" t="n">
        <f aca="false">'Zoning Research'!Z226</f>
        <v>0</v>
      </c>
      <c r="I226" s="6" t="n">
        <f aca="false">'Zoning Research'!AE226</f>
        <v>0</v>
      </c>
      <c r="J226" s="12" t="n">
        <f aca="false">'Zoning Research'!AF226</f>
        <v>0</v>
      </c>
      <c r="K226" s="6" t="n">
        <f aca="false">'Zoning Research'!AG226</f>
        <v>0</v>
      </c>
      <c r="L226" s="6" t="n">
        <f aca="false">'Zoning Research'!AH226</f>
        <v>0</v>
      </c>
      <c r="M226" s="6" t="n">
        <f aca="false">'Zoning Research'!AI226</f>
        <v>0</v>
      </c>
      <c r="N226" s="6"/>
      <c r="O226" s="6"/>
      <c r="P226" s="6"/>
    </row>
    <row r="227" customFormat="false" ht="15" hidden="false" customHeight="false" outlineLevel="0" collapsed="false">
      <c r="A227" s="2" t="s">
        <v>300</v>
      </c>
      <c r="B227" s="2" t="s">
        <v>249</v>
      </c>
      <c r="C227" s="3" t="n">
        <v>17000</v>
      </c>
      <c r="D227" s="2" t="s">
        <v>403</v>
      </c>
      <c r="E227" s="6" t="n">
        <f aca="false">'Zoning Research'!G227</f>
        <v>20</v>
      </c>
      <c r="F227" s="6" t="n">
        <f aca="false">'Zoning Research'!Q227</f>
        <v>20</v>
      </c>
      <c r="G227" s="6" t="n">
        <f aca="false">'Zoning Research'!V227</f>
        <v>20</v>
      </c>
      <c r="H227" s="6" t="n">
        <f aca="false">'Zoning Research'!Z227</f>
        <v>20</v>
      </c>
      <c r="I227" s="6" t="n">
        <f aca="false">'Zoning Research'!AE227</f>
        <v>20</v>
      </c>
      <c r="J227" s="12" t="n">
        <f aca="false">'Zoning Research'!AF227</f>
        <v>100</v>
      </c>
      <c r="K227" s="6" t="n">
        <f aca="false">'Zoning Research'!AG227</f>
        <v>0</v>
      </c>
      <c r="L227" s="6" t="n">
        <f aca="false">'Zoning Research'!AH227</f>
        <v>0</v>
      </c>
      <c r="M227" s="6" t="str">
        <f aca="false">'Zoning Research'!AI227</f>
        <v>AI Estimate</v>
      </c>
      <c r="N227" s="2" t="n">
        <v>100</v>
      </c>
      <c r="O227" s="2" t="n">
        <v>100</v>
      </c>
      <c r="P227" s="2" t="n">
        <f aca="false">IF(J227="","",J227-AVERAGE(N227,O227))</f>
        <v>0</v>
      </c>
    </row>
    <row r="228" customFormat="false" ht="15" hidden="false" customHeight="false" outlineLevel="0" collapsed="false">
      <c r="A228" s="2" t="s">
        <v>301</v>
      </c>
      <c r="B228" s="2" t="s">
        <v>249</v>
      </c>
      <c r="C228" s="3" t="n">
        <v>17000</v>
      </c>
      <c r="D228" s="2" t="s">
        <v>403</v>
      </c>
      <c r="E228" s="6" t="n">
        <f aca="false">'Zoning Research'!G228</f>
        <v>0</v>
      </c>
      <c r="F228" s="6" t="n">
        <f aca="false">'Zoning Research'!Q228</f>
        <v>0</v>
      </c>
      <c r="G228" s="6" t="n">
        <f aca="false">'Zoning Research'!V228</f>
        <v>0</v>
      </c>
      <c r="H228" s="6" t="n">
        <f aca="false">'Zoning Research'!Z228</f>
        <v>0</v>
      </c>
      <c r="I228" s="6" t="n">
        <f aca="false">'Zoning Research'!AE228</f>
        <v>0</v>
      </c>
      <c r="J228" s="12" t="n">
        <f aca="false">'Zoning Research'!AF228</f>
        <v>0</v>
      </c>
      <c r="K228" s="6" t="n">
        <f aca="false">'Zoning Research'!AG228</f>
        <v>0</v>
      </c>
      <c r="L228" s="6" t="n">
        <f aca="false">'Zoning Research'!AH228</f>
        <v>0</v>
      </c>
      <c r="M228" s="6" t="n">
        <f aca="false">'Zoning Research'!AI228</f>
        <v>0</v>
      </c>
      <c r="N228" s="6"/>
      <c r="O228" s="6"/>
      <c r="P228" s="6"/>
    </row>
    <row r="229" customFormat="false" ht="15" hidden="false" customHeight="false" outlineLevel="0" collapsed="false">
      <c r="A229" s="2" t="s">
        <v>302</v>
      </c>
      <c r="B229" s="2" t="s">
        <v>249</v>
      </c>
      <c r="C229" s="3" t="n">
        <v>16000</v>
      </c>
      <c r="D229" s="2" t="s">
        <v>403</v>
      </c>
      <c r="E229" s="6" t="n">
        <f aca="false">'Zoning Research'!G229</f>
        <v>0</v>
      </c>
      <c r="F229" s="6" t="n">
        <f aca="false">'Zoning Research'!Q229</f>
        <v>0</v>
      </c>
      <c r="G229" s="6" t="n">
        <f aca="false">'Zoning Research'!V229</f>
        <v>0</v>
      </c>
      <c r="H229" s="6" t="n">
        <f aca="false">'Zoning Research'!Z229</f>
        <v>0</v>
      </c>
      <c r="I229" s="6" t="n">
        <f aca="false">'Zoning Research'!AE229</f>
        <v>0</v>
      </c>
      <c r="J229" s="12" t="n">
        <f aca="false">'Zoning Research'!AF229</f>
        <v>0</v>
      </c>
      <c r="K229" s="6" t="n">
        <f aca="false">'Zoning Research'!AG229</f>
        <v>0</v>
      </c>
      <c r="L229" s="6" t="n">
        <f aca="false">'Zoning Research'!AH229</f>
        <v>0</v>
      </c>
      <c r="M229" s="6" t="n">
        <f aca="false">'Zoning Research'!AI229</f>
        <v>0</v>
      </c>
      <c r="N229" s="6"/>
      <c r="O229" s="6"/>
      <c r="P229" s="6"/>
    </row>
    <row r="230" customFormat="false" ht="15" hidden="false" customHeight="false" outlineLevel="0" collapsed="false">
      <c r="A230" s="2" t="s">
        <v>303</v>
      </c>
      <c r="B230" s="2" t="s">
        <v>249</v>
      </c>
      <c r="C230" s="3" t="n">
        <v>16000</v>
      </c>
      <c r="D230" s="2" t="s">
        <v>403</v>
      </c>
      <c r="E230" s="6" t="n">
        <f aca="false">'Zoning Research'!G230</f>
        <v>0</v>
      </c>
      <c r="F230" s="6" t="n">
        <f aca="false">'Zoning Research'!Q230</f>
        <v>0</v>
      </c>
      <c r="G230" s="6" t="n">
        <f aca="false">'Zoning Research'!V230</f>
        <v>0</v>
      </c>
      <c r="H230" s="6" t="n">
        <f aca="false">'Zoning Research'!Z230</f>
        <v>0</v>
      </c>
      <c r="I230" s="6" t="n">
        <f aca="false">'Zoning Research'!AE230</f>
        <v>0</v>
      </c>
      <c r="J230" s="12" t="n">
        <f aca="false">'Zoning Research'!AF230</f>
        <v>0</v>
      </c>
      <c r="K230" s="6" t="n">
        <f aca="false">'Zoning Research'!AG230</f>
        <v>0</v>
      </c>
      <c r="L230" s="6" t="n">
        <f aca="false">'Zoning Research'!AH230</f>
        <v>0</v>
      </c>
      <c r="M230" s="6" t="n">
        <f aca="false">'Zoning Research'!AI230</f>
        <v>0</v>
      </c>
      <c r="N230" s="6"/>
      <c r="O230" s="6"/>
      <c r="P230" s="6"/>
    </row>
    <row r="231" customFormat="false" ht="15" hidden="false" customHeight="false" outlineLevel="0" collapsed="false">
      <c r="A231" s="2" t="s">
        <v>305</v>
      </c>
      <c r="B231" s="2" t="s">
        <v>249</v>
      </c>
      <c r="C231" s="3" t="n">
        <v>14000</v>
      </c>
      <c r="D231" s="2" t="s">
        <v>403</v>
      </c>
      <c r="E231" s="6" t="n">
        <f aca="false">'Zoning Research'!G231</f>
        <v>0</v>
      </c>
      <c r="F231" s="6" t="n">
        <f aca="false">'Zoning Research'!Q231</f>
        <v>0</v>
      </c>
      <c r="G231" s="6" t="n">
        <f aca="false">'Zoning Research'!V231</f>
        <v>0</v>
      </c>
      <c r="H231" s="6" t="n">
        <f aca="false">'Zoning Research'!Z231</f>
        <v>0</v>
      </c>
      <c r="I231" s="6" t="n">
        <f aca="false">'Zoning Research'!AE231</f>
        <v>0</v>
      </c>
      <c r="J231" s="12" t="n">
        <f aca="false">'Zoning Research'!AF231</f>
        <v>0</v>
      </c>
      <c r="K231" s="6" t="n">
        <f aca="false">'Zoning Research'!AG231</f>
        <v>0</v>
      </c>
      <c r="L231" s="6" t="n">
        <f aca="false">'Zoning Research'!AH231</f>
        <v>0</v>
      </c>
      <c r="M231" s="6" t="n">
        <f aca="false">'Zoning Research'!AI231</f>
        <v>0</v>
      </c>
      <c r="N231" s="6"/>
      <c r="O231" s="6"/>
      <c r="P231" s="6"/>
    </row>
    <row r="232" customFormat="false" ht="15" hidden="false" customHeight="false" outlineLevel="0" collapsed="false">
      <c r="A232" s="2" t="s">
        <v>306</v>
      </c>
      <c r="B232" s="2" t="s">
        <v>249</v>
      </c>
      <c r="C232" s="3" t="n">
        <v>13800</v>
      </c>
      <c r="D232" s="2" t="s">
        <v>403</v>
      </c>
      <c r="E232" s="6" t="n">
        <f aca="false">'Zoning Research'!G232</f>
        <v>20</v>
      </c>
      <c r="F232" s="6" t="n">
        <f aca="false">'Zoning Research'!Q232</f>
        <v>20</v>
      </c>
      <c r="G232" s="6" t="n">
        <f aca="false">'Zoning Research'!V232</f>
        <v>20</v>
      </c>
      <c r="H232" s="6" t="n">
        <f aca="false">'Zoning Research'!Z232</f>
        <v>20</v>
      </c>
      <c r="I232" s="6" t="n">
        <f aca="false">'Zoning Research'!AE232</f>
        <v>20</v>
      </c>
      <c r="J232" s="12" t="n">
        <f aca="false">'Zoning Research'!AF232</f>
        <v>100</v>
      </c>
      <c r="K232" s="6" t="n">
        <f aca="false">'Zoning Research'!AG232</f>
        <v>0</v>
      </c>
      <c r="L232" s="6" t="n">
        <f aca="false">'Zoning Research'!AH232</f>
        <v>0</v>
      </c>
      <c r="M232" s="6" t="str">
        <f aca="false">'Zoning Research'!AI232</f>
        <v>AI Estimate</v>
      </c>
      <c r="N232" s="2" t="n">
        <v>95</v>
      </c>
      <c r="O232" s="2" t="n">
        <v>100</v>
      </c>
      <c r="P232" s="2" t="n">
        <f aca="false">IF(J232="","",J232-AVERAGE(N232,O232))</f>
        <v>2.5</v>
      </c>
    </row>
    <row r="233" customFormat="false" ht="15" hidden="false" customHeight="false" outlineLevel="0" collapsed="false">
      <c r="A233" s="2" t="s">
        <v>307</v>
      </c>
      <c r="B233" s="2" t="s">
        <v>249</v>
      </c>
      <c r="C233" s="3" t="n">
        <v>13000</v>
      </c>
      <c r="D233" s="2" t="s">
        <v>403</v>
      </c>
      <c r="E233" s="6" t="n">
        <f aca="false">'Zoning Research'!G233</f>
        <v>20</v>
      </c>
      <c r="F233" s="6" t="n">
        <f aca="false">'Zoning Research'!Q233</f>
        <v>20</v>
      </c>
      <c r="G233" s="6" t="n">
        <f aca="false">'Zoning Research'!V233</f>
        <v>20</v>
      </c>
      <c r="H233" s="6" t="n">
        <f aca="false">'Zoning Research'!Z233</f>
        <v>20</v>
      </c>
      <c r="I233" s="6" t="n">
        <f aca="false">'Zoning Research'!AE233</f>
        <v>20</v>
      </c>
      <c r="J233" s="12" t="n">
        <f aca="false">'Zoning Research'!AF233</f>
        <v>100</v>
      </c>
      <c r="K233" s="6" t="n">
        <f aca="false">'Zoning Research'!AG233</f>
        <v>0</v>
      </c>
      <c r="L233" s="6" t="n">
        <f aca="false">'Zoning Research'!AH233</f>
        <v>0</v>
      </c>
      <c r="M233" s="6" t="str">
        <f aca="false">'Zoning Research'!AI233</f>
        <v>AI Estimate</v>
      </c>
      <c r="N233" s="2" t="n">
        <v>100</v>
      </c>
      <c r="O233" s="2" t="n">
        <v>100</v>
      </c>
      <c r="P233" s="2" t="n">
        <f aca="false">IF(J233="","",J233-AVERAGE(N233,O233))</f>
        <v>0</v>
      </c>
    </row>
    <row r="234" customFormat="false" ht="15" hidden="false" customHeight="false" outlineLevel="0" collapsed="false">
      <c r="A234" s="2" t="s">
        <v>157</v>
      </c>
      <c r="B234" s="2" t="s">
        <v>249</v>
      </c>
      <c r="C234" s="3" t="n">
        <v>13000</v>
      </c>
      <c r="D234" s="2" t="s">
        <v>403</v>
      </c>
      <c r="E234" s="6" t="n">
        <f aca="false">'Zoning Research'!G234</f>
        <v>16</v>
      </c>
      <c r="F234" s="6" t="n">
        <f aca="false">'Zoning Research'!Q234</f>
        <v>16</v>
      </c>
      <c r="G234" s="6" t="n">
        <f aca="false">'Zoning Research'!V234</f>
        <v>16</v>
      </c>
      <c r="H234" s="6" t="n">
        <f aca="false">'Zoning Research'!Z234</f>
        <v>16</v>
      </c>
      <c r="I234" s="6" t="n">
        <f aca="false">'Zoning Research'!AE234</f>
        <v>16</v>
      </c>
      <c r="J234" s="12" t="n">
        <f aca="false">'Zoning Research'!AF234</f>
        <v>80</v>
      </c>
      <c r="K234" s="6" t="n">
        <f aca="false">'Zoning Research'!AG234</f>
        <v>0</v>
      </c>
      <c r="L234" s="6" t="n">
        <f aca="false">'Zoning Research'!AH234</f>
        <v>0</v>
      </c>
      <c r="M234" s="6" t="str">
        <f aca="false">'Zoning Research'!AI234</f>
        <v>AI Estimate</v>
      </c>
      <c r="N234" s="2" t="n">
        <v>65</v>
      </c>
      <c r="O234" s="2" t="n">
        <v>100</v>
      </c>
      <c r="P234" s="2" t="n">
        <f aca="false">IF(J234="","",J234-AVERAGE(N234,O234))</f>
        <v>-2.5</v>
      </c>
    </row>
    <row r="235" customFormat="false" ht="15" hidden="false" customHeight="false" outlineLevel="0" collapsed="false">
      <c r="A235" s="2" t="s">
        <v>308</v>
      </c>
      <c r="B235" s="2" t="s">
        <v>249</v>
      </c>
      <c r="C235" s="3" t="n">
        <v>13000</v>
      </c>
      <c r="D235" s="2" t="s">
        <v>403</v>
      </c>
      <c r="E235" s="6" t="n">
        <f aca="false">'Zoning Research'!G235</f>
        <v>0</v>
      </c>
      <c r="F235" s="6" t="n">
        <f aca="false">'Zoning Research'!Q235</f>
        <v>0</v>
      </c>
      <c r="G235" s="6" t="n">
        <f aca="false">'Zoning Research'!V235</f>
        <v>0</v>
      </c>
      <c r="H235" s="6" t="n">
        <f aca="false">'Zoning Research'!Z235</f>
        <v>0</v>
      </c>
      <c r="I235" s="6" t="n">
        <f aca="false">'Zoning Research'!AE235</f>
        <v>0</v>
      </c>
      <c r="J235" s="12" t="n">
        <f aca="false">'Zoning Research'!AF235</f>
        <v>0</v>
      </c>
      <c r="K235" s="6" t="n">
        <f aca="false">'Zoning Research'!AG235</f>
        <v>0</v>
      </c>
      <c r="L235" s="6" t="n">
        <f aca="false">'Zoning Research'!AH235</f>
        <v>0</v>
      </c>
      <c r="M235" s="6" t="n">
        <f aca="false">'Zoning Research'!AI235</f>
        <v>0</v>
      </c>
      <c r="N235" s="6"/>
      <c r="O235" s="6"/>
      <c r="P235" s="6"/>
    </row>
    <row r="236" customFormat="false" ht="15" hidden="false" customHeight="false" outlineLevel="0" collapsed="false">
      <c r="A236" s="2" t="s">
        <v>309</v>
      </c>
      <c r="B236" s="2" t="s">
        <v>249</v>
      </c>
      <c r="C236" s="3" t="n">
        <v>12000</v>
      </c>
      <c r="D236" s="2" t="s">
        <v>403</v>
      </c>
      <c r="E236" s="6" t="n">
        <f aca="false">'Zoning Research'!G236</f>
        <v>16</v>
      </c>
      <c r="F236" s="6" t="n">
        <f aca="false">'Zoning Research'!Q236</f>
        <v>16</v>
      </c>
      <c r="G236" s="6" t="n">
        <f aca="false">'Zoning Research'!V236</f>
        <v>16</v>
      </c>
      <c r="H236" s="6" t="n">
        <f aca="false">'Zoning Research'!Z236</f>
        <v>16</v>
      </c>
      <c r="I236" s="6" t="n">
        <f aca="false">'Zoning Research'!AE236</f>
        <v>16</v>
      </c>
      <c r="J236" s="12" t="n">
        <f aca="false">'Zoning Research'!AF236</f>
        <v>80</v>
      </c>
      <c r="K236" s="6" t="n">
        <f aca="false">'Zoning Research'!AG236</f>
        <v>0</v>
      </c>
      <c r="L236" s="6" t="n">
        <f aca="false">'Zoning Research'!AH236</f>
        <v>0</v>
      </c>
      <c r="M236" s="6" t="str">
        <f aca="false">'Zoning Research'!AI236</f>
        <v>AI Estimate</v>
      </c>
      <c r="N236" s="2" t="n">
        <v>65</v>
      </c>
      <c r="O236" s="2" t="n">
        <v>95</v>
      </c>
      <c r="P236" s="2" t="n">
        <f aca="false">IF(J236="","",J236-AVERAGE(N236,O236))</f>
        <v>0</v>
      </c>
    </row>
    <row r="237" customFormat="false" ht="15" hidden="false" customHeight="false" outlineLevel="0" collapsed="false">
      <c r="A237" s="2" t="s">
        <v>310</v>
      </c>
      <c r="B237" s="2" t="s">
        <v>249</v>
      </c>
      <c r="C237" s="3" t="n">
        <v>12000</v>
      </c>
      <c r="D237" s="2" t="s">
        <v>403</v>
      </c>
      <c r="E237" s="6" t="n">
        <f aca="false">'Zoning Research'!G237</f>
        <v>0</v>
      </c>
      <c r="F237" s="6" t="n">
        <f aca="false">'Zoning Research'!Q237</f>
        <v>0</v>
      </c>
      <c r="G237" s="6" t="n">
        <f aca="false">'Zoning Research'!V237</f>
        <v>0</v>
      </c>
      <c r="H237" s="6" t="n">
        <f aca="false">'Zoning Research'!Z237</f>
        <v>0</v>
      </c>
      <c r="I237" s="6" t="n">
        <f aca="false">'Zoning Research'!AE237</f>
        <v>0</v>
      </c>
      <c r="J237" s="12" t="n">
        <f aca="false">'Zoning Research'!AF237</f>
        <v>0</v>
      </c>
      <c r="K237" s="6" t="n">
        <f aca="false">'Zoning Research'!AG237</f>
        <v>0</v>
      </c>
      <c r="L237" s="6" t="n">
        <f aca="false">'Zoning Research'!AH237</f>
        <v>0</v>
      </c>
      <c r="M237" s="6" t="n">
        <f aca="false">'Zoning Research'!AI237</f>
        <v>0</v>
      </c>
      <c r="N237" s="6"/>
      <c r="O237" s="6"/>
      <c r="P237" s="6"/>
    </row>
    <row r="238" customFormat="false" ht="15" hidden="false" customHeight="false" outlineLevel="0" collapsed="false">
      <c r="A238" s="2" t="s">
        <v>311</v>
      </c>
      <c r="B238" s="2" t="s">
        <v>249</v>
      </c>
      <c r="C238" s="3" t="n">
        <v>12000</v>
      </c>
      <c r="D238" s="2" t="s">
        <v>403</v>
      </c>
      <c r="E238" s="6" t="n">
        <f aca="false">'Zoning Research'!G238</f>
        <v>0</v>
      </c>
      <c r="F238" s="6" t="n">
        <f aca="false">'Zoning Research'!Q238</f>
        <v>0</v>
      </c>
      <c r="G238" s="6" t="n">
        <f aca="false">'Zoning Research'!V238</f>
        <v>0</v>
      </c>
      <c r="H238" s="6" t="n">
        <f aca="false">'Zoning Research'!Z238</f>
        <v>0</v>
      </c>
      <c r="I238" s="6" t="n">
        <f aca="false">'Zoning Research'!AE238</f>
        <v>0</v>
      </c>
      <c r="J238" s="12" t="n">
        <f aca="false">'Zoning Research'!AF238</f>
        <v>0</v>
      </c>
      <c r="K238" s="6" t="n">
        <f aca="false">'Zoning Research'!AG238</f>
        <v>0</v>
      </c>
      <c r="L238" s="6" t="n">
        <f aca="false">'Zoning Research'!AH238</f>
        <v>0</v>
      </c>
      <c r="M238" s="6" t="n">
        <f aca="false">'Zoning Research'!AI238</f>
        <v>0</v>
      </c>
      <c r="N238" s="6"/>
      <c r="O238" s="6"/>
      <c r="P238" s="6"/>
    </row>
    <row r="239" customFormat="false" ht="15" hidden="false" customHeight="false" outlineLevel="0" collapsed="false">
      <c r="A239" s="2" t="s">
        <v>313</v>
      </c>
      <c r="B239" s="2" t="s">
        <v>249</v>
      </c>
      <c r="C239" s="3" t="n">
        <v>12000</v>
      </c>
      <c r="D239" s="2" t="s">
        <v>403</v>
      </c>
      <c r="E239" s="6" t="n">
        <f aca="false">'Zoning Research'!G239</f>
        <v>0</v>
      </c>
      <c r="F239" s="6" t="n">
        <f aca="false">'Zoning Research'!Q239</f>
        <v>0</v>
      </c>
      <c r="G239" s="6" t="n">
        <f aca="false">'Zoning Research'!V239</f>
        <v>0</v>
      </c>
      <c r="H239" s="6" t="n">
        <f aca="false">'Zoning Research'!Z239</f>
        <v>0</v>
      </c>
      <c r="I239" s="6" t="n">
        <f aca="false">'Zoning Research'!AE239</f>
        <v>0</v>
      </c>
      <c r="J239" s="12" t="n">
        <f aca="false">'Zoning Research'!AF239</f>
        <v>0</v>
      </c>
      <c r="K239" s="6" t="n">
        <f aca="false">'Zoning Research'!AG239</f>
        <v>0</v>
      </c>
      <c r="L239" s="6" t="n">
        <f aca="false">'Zoning Research'!AH239</f>
        <v>0</v>
      </c>
      <c r="M239" s="6" t="n">
        <f aca="false">'Zoning Research'!AI239</f>
        <v>0</v>
      </c>
      <c r="N239" s="6"/>
      <c r="O239" s="6"/>
      <c r="P239" s="6"/>
    </row>
    <row r="240" customFormat="false" ht="15" hidden="false" customHeight="false" outlineLevel="0" collapsed="false">
      <c r="A240" s="2" t="s">
        <v>314</v>
      </c>
      <c r="B240" s="2" t="s">
        <v>249</v>
      </c>
      <c r="C240" s="3" t="n">
        <v>12000</v>
      </c>
      <c r="D240" s="2" t="s">
        <v>403</v>
      </c>
      <c r="E240" s="6" t="n">
        <f aca="false">'Zoning Research'!G240</f>
        <v>0</v>
      </c>
      <c r="F240" s="6" t="n">
        <f aca="false">'Zoning Research'!Q240</f>
        <v>0</v>
      </c>
      <c r="G240" s="6" t="n">
        <f aca="false">'Zoning Research'!V240</f>
        <v>0</v>
      </c>
      <c r="H240" s="6" t="n">
        <f aca="false">'Zoning Research'!Z240</f>
        <v>0</v>
      </c>
      <c r="I240" s="6" t="n">
        <f aca="false">'Zoning Research'!AE240</f>
        <v>0</v>
      </c>
      <c r="J240" s="12" t="n">
        <f aca="false">'Zoning Research'!AF240</f>
        <v>0</v>
      </c>
      <c r="K240" s="6" t="n">
        <f aca="false">'Zoning Research'!AG240</f>
        <v>0</v>
      </c>
      <c r="L240" s="6" t="n">
        <f aca="false">'Zoning Research'!AH240</f>
        <v>0</v>
      </c>
      <c r="M240" s="6" t="n">
        <f aca="false">'Zoning Research'!AI240</f>
        <v>0</v>
      </c>
      <c r="N240" s="6"/>
      <c r="O240" s="6"/>
      <c r="P240" s="6"/>
    </row>
    <row r="241" customFormat="false" ht="15" hidden="false" customHeight="false" outlineLevel="0" collapsed="false">
      <c r="A241" s="2" t="s">
        <v>315</v>
      </c>
      <c r="B241" s="2" t="s">
        <v>249</v>
      </c>
      <c r="C241" s="3" t="n">
        <v>11600</v>
      </c>
      <c r="D241" s="2" t="s">
        <v>403</v>
      </c>
      <c r="E241" s="6" t="n">
        <f aca="false">'Zoning Research'!G241</f>
        <v>20</v>
      </c>
      <c r="F241" s="6" t="n">
        <f aca="false">'Zoning Research'!Q241</f>
        <v>20</v>
      </c>
      <c r="G241" s="6" t="n">
        <f aca="false">'Zoning Research'!V241</f>
        <v>20</v>
      </c>
      <c r="H241" s="6" t="n">
        <f aca="false">'Zoning Research'!Z241</f>
        <v>20</v>
      </c>
      <c r="I241" s="6" t="n">
        <f aca="false">'Zoning Research'!AE241</f>
        <v>20</v>
      </c>
      <c r="J241" s="12" t="n">
        <f aca="false">'Zoning Research'!AF241</f>
        <v>100</v>
      </c>
      <c r="K241" s="6" t="n">
        <f aca="false">'Zoning Research'!AG241</f>
        <v>0</v>
      </c>
      <c r="L241" s="6" t="n">
        <f aca="false">'Zoning Research'!AH241</f>
        <v>0</v>
      </c>
      <c r="M241" s="6" t="str">
        <f aca="false">'Zoning Research'!AI241</f>
        <v>AI Estimate</v>
      </c>
      <c r="N241" s="2" t="n">
        <v>100</v>
      </c>
      <c r="O241" s="2" t="n">
        <v>100</v>
      </c>
      <c r="P241" s="2" t="n">
        <f aca="false">IF(J241="","",J241-AVERAGE(N241,O241))</f>
        <v>0</v>
      </c>
    </row>
    <row r="242" customFormat="false" ht="15" hidden="false" customHeight="false" outlineLevel="0" collapsed="false">
      <c r="A242" s="2" t="s">
        <v>316</v>
      </c>
      <c r="B242" s="2" t="s">
        <v>249</v>
      </c>
      <c r="C242" s="3" t="n">
        <v>11600</v>
      </c>
      <c r="D242" s="2" t="s">
        <v>403</v>
      </c>
      <c r="E242" s="6" t="n">
        <f aca="false">'Zoning Research'!G242</f>
        <v>20</v>
      </c>
      <c r="F242" s="6" t="n">
        <f aca="false">'Zoning Research'!Q242</f>
        <v>20</v>
      </c>
      <c r="G242" s="6" t="n">
        <f aca="false">'Zoning Research'!V242</f>
        <v>20</v>
      </c>
      <c r="H242" s="6" t="n">
        <f aca="false">'Zoning Research'!Z242</f>
        <v>20</v>
      </c>
      <c r="I242" s="6" t="n">
        <f aca="false">'Zoning Research'!AE242</f>
        <v>20</v>
      </c>
      <c r="J242" s="12" t="n">
        <f aca="false">'Zoning Research'!AF242</f>
        <v>100</v>
      </c>
      <c r="K242" s="6" t="n">
        <f aca="false">'Zoning Research'!AG242</f>
        <v>0</v>
      </c>
      <c r="L242" s="6" t="n">
        <f aca="false">'Zoning Research'!AH242</f>
        <v>0</v>
      </c>
      <c r="M242" s="6" t="str">
        <f aca="false">'Zoning Research'!AI242</f>
        <v>AI Estimate</v>
      </c>
      <c r="N242" s="2" t="n">
        <v>100</v>
      </c>
      <c r="O242" s="2" t="n">
        <v>100</v>
      </c>
      <c r="P242" s="2" t="n">
        <f aca="false">IF(J242="","",J242-AVERAGE(N242,O242))</f>
        <v>0</v>
      </c>
    </row>
    <row r="243" customFormat="false" ht="15" hidden="false" customHeight="false" outlineLevel="0" collapsed="false">
      <c r="A243" s="2" t="s">
        <v>317</v>
      </c>
      <c r="B243" s="2" t="s">
        <v>249</v>
      </c>
      <c r="C243" s="3" t="n">
        <v>10000</v>
      </c>
      <c r="D243" s="2" t="s">
        <v>403</v>
      </c>
      <c r="E243" s="6" t="n">
        <f aca="false">'Zoning Research'!G243</f>
        <v>0</v>
      </c>
      <c r="F243" s="6" t="n">
        <f aca="false">'Zoning Research'!Q243</f>
        <v>0</v>
      </c>
      <c r="G243" s="6" t="n">
        <f aca="false">'Zoning Research'!V243</f>
        <v>0</v>
      </c>
      <c r="H243" s="6" t="n">
        <f aca="false">'Zoning Research'!Z243</f>
        <v>0</v>
      </c>
      <c r="I243" s="6" t="n">
        <f aca="false">'Zoning Research'!AE243</f>
        <v>0</v>
      </c>
      <c r="J243" s="12" t="n">
        <f aca="false">'Zoning Research'!AF243</f>
        <v>0</v>
      </c>
      <c r="K243" s="6" t="n">
        <f aca="false">'Zoning Research'!AG243</f>
        <v>0</v>
      </c>
      <c r="L243" s="6" t="n">
        <f aca="false">'Zoning Research'!AH243</f>
        <v>0</v>
      </c>
      <c r="M243" s="6" t="n">
        <f aca="false">'Zoning Research'!AI243</f>
        <v>0</v>
      </c>
      <c r="N243" s="6"/>
      <c r="O243" s="6"/>
      <c r="P243" s="6"/>
    </row>
    <row r="244" customFormat="false" ht="15" hidden="false" customHeight="false" outlineLevel="0" collapsed="false">
      <c r="A244" s="2" t="s">
        <v>318</v>
      </c>
      <c r="B244" s="2" t="s">
        <v>249</v>
      </c>
      <c r="C244" s="3" t="n">
        <v>10000</v>
      </c>
      <c r="D244" s="2" t="s">
        <v>403</v>
      </c>
      <c r="E244" s="6" t="n">
        <f aca="false">'Zoning Research'!G244</f>
        <v>0</v>
      </c>
      <c r="F244" s="6" t="n">
        <f aca="false">'Zoning Research'!Q244</f>
        <v>0</v>
      </c>
      <c r="G244" s="6" t="n">
        <f aca="false">'Zoning Research'!V244</f>
        <v>0</v>
      </c>
      <c r="H244" s="6" t="n">
        <f aca="false">'Zoning Research'!Z244</f>
        <v>0</v>
      </c>
      <c r="I244" s="6" t="n">
        <f aca="false">'Zoning Research'!AE244</f>
        <v>0</v>
      </c>
      <c r="J244" s="12" t="n">
        <f aca="false">'Zoning Research'!AF244</f>
        <v>0</v>
      </c>
      <c r="K244" s="6" t="n">
        <f aca="false">'Zoning Research'!AG244</f>
        <v>0</v>
      </c>
      <c r="L244" s="6" t="n">
        <f aca="false">'Zoning Research'!AH244</f>
        <v>0</v>
      </c>
      <c r="M244" s="6" t="n">
        <f aca="false">'Zoning Research'!AI244</f>
        <v>0</v>
      </c>
      <c r="N244" s="6"/>
      <c r="O244" s="6"/>
      <c r="P244" s="6"/>
    </row>
    <row r="245" customFormat="false" ht="15" hidden="false" customHeight="false" outlineLevel="0" collapsed="false">
      <c r="A245" s="2" t="s">
        <v>319</v>
      </c>
      <c r="B245" s="2" t="s">
        <v>249</v>
      </c>
      <c r="C245" s="3" t="n">
        <v>8000</v>
      </c>
      <c r="D245" s="2" t="s">
        <v>404</v>
      </c>
      <c r="E245" s="6" t="n">
        <f aca="false">'Zoning Research'!G245</f>
        <v>0</v>
      </c>
      <c r="F245" s="6" t="n">
        <f aca="false">'Zoning Research'!Q245</f>
        <v>0</v>
      </c>
      <c r="G245" s="6" t="n">
        <f aca="false">'Zoning Research'!V245</f>
        <v>0</v>
      </c>
      <c r="H245" s="6" t="n">
        <f aca="false">'Zoning Research'!Z245</f>
        <v>0</v>
      </c>
      <c r="I245" s="6" t="n">
        <f aca="false">'Zoning Research'!AE245</f>
        <v>0</v>
      </c>
      <c r="J245" s="12" t="n">
        <f aca="false">'Zoning Research'!AF245</f>
        <v>0</v>
      </c>
      <c r="K245" s="6" t="n">
        <f aca="false">'Zoning Research'!AG245</f>
        <v>0</v>
      </c>
      <c r="L245" s="6" t="n">
        <f aca="false">'Zoning Research'!AH245</f>
        <v>0</v>
      </c>
      <c r="M245" s="6" t="n">
        <f aca="false">'Zoning Research'!AI245</f>
        <v>0</v>
      </c>
      <c r="N245" s="6"/>
      <c r="O245" s="6"/>
      <c r="P245" s="6"/>
    </row>
    <row r="246" customFormat="false" ht="15" hidden="false" customHeight="false" outlineLevel="0" collapsed="false">
      <c r="A246" s="2" t="s">
        <v>320</v>
      </c>
      <c r="B246" s="2" t="s">
        <v>249</v>
      </c>
      <c r="C246" s="3" t="n">
        <v>8000</v>
      </c>
      <c r="D246" s="2" t="s">
        <v>404</v>
      </c>
      <c r="E246" s="6" t="n">
        <f aca="false">'Zoning Research'!G246</f>
        <v>0</v>
      </c>
      <c r="F246" s="6" t="n">
        <f aca="false">'Zoning Research'!Q246</f>
        <v>0</v>
      </c>
      <c r="G246" s="6" t="n">
        <f aca="false">'Zoning Research'!V246</f>
        <v>0</v>
      </c>
      <c r="H246" s="6" t="n">
        <f aca="false">'Zoning Research'!Z246</f>
        <v>0</v>
      </c>
      <c r="I246" s="6" t="n">
        <f aca="false">'Zoning Research'!AE246</f>
        <v>0</v>
      </c>
      <c r="J246" s="12" t="n">
        <f aca="false">'Zoning Research'!AF246</f>
        <v>0</v>
      </c>
      <c r="K246" s="6" t="n">
        <f aca="false">'Zoning Research'!AG246</f>
        <v>0</v>
      </c>
      <c r="L246" s="6" t="n">
        <f aca="false">'Zoning Research'!AH246</f>
        <v>0</v>
      </c>
      <c r="M246" s="6" t="n">
        <f aca="false">'Zoning Research'!AI246</f>
        <v>0</v>
      </c>
      <c r="N246" s="6"/>
      <c r="O246" s="6"/>
      <c r="P246" s="6"/>
    </row>
  </sheetData>
  <autoFilter ref="A1:P2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50"/>
    <col collapsed="false" customWidth="true" hidden="false" outlineLevel="0" max="9" min="9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365</v>
      </c>
      <c r="D1" s="1" t="s">
        <v>406</v>
      </c>
      <c r="E1" s="1" t="s">
        <v>407</v>
      </c>
      <c r="F1" s="1" t="s">
        <v>366</v>
      </c>
      <c r="G1" s="1" t="s">
        <v>408</v>
      </c>
      <c r="H1" s="1" t="s">
        <v>409</v>
      </c>
      <c r="I1" s="1" t="s">
        <v>410</v>
      </c>
    </row>
    <row r="2" customFormat="false" ht="15" hidden="false" customHeight="false" outlineLevel="0" collapsed="false">
      <c r="A2" s="2" t="s">
        <v>20</v>
      </c>
      <c r="B2" s="2" t="s">
        <v>12</v>
      </c>
      <c r="C2" s="2" t="s">
        <v>373</v>
      </c>
      <c r="D2" s="2" t="n">
        <v>65</v>
      </c>
      <c r="E2" s="2" t="s">
        <v>411</v>
      </c>
      <c r="F2" s="2" t="s">
        <v>380</v>
      </c>
      <c r="G2" s="2" t="s">
        <v>27</v>
      </c>
      <c r="H2" s="2" t="s">
        <v>412</v>
      </c>
      <c r="I2" s="2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2026-03-16T01:09:28Z</dcterms:created>
  <dc:creator>openpyxl</dc:creator>
  <dc:description/>
  <dc:language>en-US</dc:language>
  <cp:lastModifiedBy/>
  <dcterms:modified xsi:type="dcterms:W3CDTF">2026-03-16T01:09:29Z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